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macgmgroup-my.sharepoint.com/personal/ho_agranger_cma-cgm_com/Documents/Documents/Cryhod/98. --- Perso ---/Navigation/Thetis - Cruising guide/2. Base de données/"/>
    </mc:Choice>
  </mc:AlternateContent>
  <xr:revisionPtr revIDLastSave="0" documentId="8_{8FCF44D1-9064-4FE9-8AC8-AB15D93B49F6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Base_THETIS_MASTER" sheetId="1" r:id="rId1"/>
    <sheet name="Référentiels" sheetId="2" r:id="rId2"/>
    <sheet name="Historique" sheetId="3" r:id="rId3"/>
    <sheet name="README_Referentiel" sheetId="4" r:id="rId4"/>
    <sheet name="Approches" sheetId="5" r:id="rId5"/>
    <sheet name="Amarrages" sheetId="6" r:id="rId6"/>
    <sheet name="Services" sheetId="7" r:id="rId7"/>
    <sheet name="A_Terre" sheetId="8" r:id="rId8"/>
    <sheet name="Itineraires" sheetId="9" r:id="rId9"/>
    <sheet name="Medias" sheetId="10" r:id="rId10"/>
    <sheet name="Sources_Verifications" sheetId="11" r:id="rId11"/>
    <sheet name="Listes_Controlees" sheetId="12" r:id="rId12"/>
    <sheet name="Dictionnaire_Donnees" sheetId="13" r:id="rId13"/>
    <sheet name="Controle_Compatibilite_PWA" sheetId="14" r:id="rId14"/>
    <sheet name="Publication_PW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0" i="9" l="1"/>
  <c r="H500" i="9"/>
  <c r="G500" i="9"/>
  <c r="I499" i="9"/>
  <c r="H499" i="9"/>
  <c r="G499" i="9"/>
  <c r="I498" i="9"/>
  <c r="H498" i="9"/>
  <c r="G498" i="9"/>
  <c r="I497" i="9"/>
  <c r="H497" i="9"/>
  <c r="G497" i="9"/>
  <c r="I496" i="9"/>
  <c r="H496" i="9"/>
  <c r="G496" i="9"/>
  <c r="I495" i="9"/>
  <c r="H495" i="9"/>
  <c r="G495" i="9"/>
  <c r="I494" i="9"/>
  <c r="H494" i="9"/>
  <c r="G494" i="9"/>
  <c r="I493" i="9"/>
  <c r="H493" i="9"/>
  <c r="G493" i="9"/>
  <c r="I492" i="9"/>
  <c r="H492" i="9"/>
  <c r="G492" i="9"/>
  <c r="I491" i="9"/>
  <c r="H491" i="9"/>
  <c r="G491" i="9"/>
  <c r="I490" i="9"/>
  <c r="H490" i="9"/>
  <c r="G490" i="9"/>
  <c r="I489" i="9"/>
  <c r="H489" i="9"/>
  <c r="G489" i="9"/>
  <c r="I488" i="9"/>
  <c r="H488" i="9"/>
  <c r="G488" i="9"/>
  <c r="I487" i="9"/>
  <c r="H487" i="9"/>
  <c r="G487" i="9"/>
  <c r="I486" i="9"/>
  <c r="H486" i="9"/>
  <c r="G486" i="9"/>
  <c r="I485" i="9"/>
  <c r="H485" i="9"/>
  <c r="G485" i="9"/>
  <c r="I484" i="9"/>
  <c r="H484" i="9"/>
  <c r="G484" i="9"/>
  <c r="I483" i="9"/>
  <c r="H483" i="9"/>
  <c r="G483" i="9"/>
  <c r="I482" i="9"/>
  <c r="H482" i="9"/>
  <c r="G482" i="9"/>
  <c r="I481" i="9"/>
  <c r="H481" i="9"/>
  <c r="G481" i="9"/>
  <c r="I480" i="9"/>
  <c r="H480" i="9"/>
  <c r="G480" i="9"/>
  <c r="I479" i="9"/>
  <c r="H479" i="9"/>
  <c r="G479" i="9"/>
  <c r="I478" i="9"/>
  <c r="H478" i="9"/>
  <c r="G478" i="9"/>
  <c r="I477" i="9"/>
  <c r="H477" i="9"/>
  <c r="G477" i="9"/>
  <c r="I476" i="9"/>
  <c r="H476" i="9"/>
  <c r="G476" i="9"/>
  <c r="I475" i="9"/>
  <c r="H475" i="9"/>
  <c r="G475" i="9"/>
  <c r="I474" i="9"/>
  <c r="H474" i="9"/>
  <c r="G474" i="9"/>
  <c r="I473" i="9"/>
  <c r="H473" i="9"/>
  <c r="G473" i="9"/>
  <c r="I472" i="9"/>
  <c r="H472" i="9"/>
  <c r="G472" i="9"/>
  <c r="I471" i="9"/>
  <c r="H471" i="9"/>
  <c r="G471" i="9"/>
  <c r="I470" i="9"/>
  <c r="H470" i="9"/>
  <c r="G470" i="9"/>
  <c r="I469" i="9"/>
  <c r="H469" i="9"/>
  <c r="G469" i="9"/>
  <c r="I468" i="9"/>
  <c r="H468" i="9"/>
  <c r="G468" i="9"/>
  <c r="I467" i="9"/>
  <c r="H467" i="9"/>
  <c r="G467" i="9"/>
  <c r="I466" i="9"/>
  <c r="H466" i="9"/>
  <c r="G466" i="9"/>
  <c r="I465" i="9"/>
  <c r="H465" i="9"/>
  <c r="G465" i="9"/>
  <c r="I464" i="9"/>
  <c r="H464" i="9"/>
  <c r="G464" i="9"/>
  <c r="I463" i="9"/>
  <c r="H463" i="9"/>
  <c r="G463" i="9"/>
  <c r="I462" i="9"/>
  <c r="H462" i="9"/>
  <c r="G462" i="9"/>
  <c r="I461" i="9"/>
  <c r="H461" i="9"/>
  <c r="G461" i="9"/>
  <c r="I460" i="9"/>
  <c r="H460" i="9"/>
  <c r="G460" i="9"/>
  <c r="I459" i="9"/>
  <c r="H459" i="9"/>
  <c r="G459" i="9"/>
  <c r="I458" i="9"/>
  <c r="H458" i="9"/>
  <c r="G458" i="9"/>
  <c r="I457" i="9"/>
  <c r="H457" i="9"/>
  <c r="G457" i="9"/>
  <c r="I456" i="9"/>
  <c r="H456" i="9"/>
  <c r="G456" i="9"/>
  <c r="I455" i="9"/>
  <c r="H455" i="9"/>
  <c r="G455" i="9"/>
  <c r="I454" i="9"/>
  <c r="H454" i="9"/>
  <c r="G454" i="9"/>
  <c r="I453" i="9"/>
  <c r="H453" i="9"/>
  <c r="G453" i="9"/>
  <c r="I452" i="9"/>
  <c r="H452" i="9"/>
  <c r="G452" i="9"/>
  <c r="I451" i="9"/>
  <c r="H451" i="9"/>
  <c r="G451" i="9"/>
  <c r="I450" i="9"/>
  <c r="H450" i="9"/>
  <c r="G450" i="9"/>
  <c r="I449" i="9"/>
  <c r="H449" i="9"/>
  <c r="G449" i="9"/>
  <c r="I448" i="9"/>
  <c r="H448" i="9"/>
  <c r="G448" i="9"/>
  <c r="I447" i="9"/>
  <c r="H447" i="9"/>
  <c r="G447" i="9"/>
  <c r="I446" i="9"/>
  <c r="H446" i="9"/>
  <c r="G446" i="9"/>
  <c r="I445" i="9"/>
  <c r="H445" i="9"/>
  <c r="G445" i="9"/>
  <c r="I444" i="9"/>
  <c r="H444" i="9"/>
  <c r="G444" i="9"/>
  <c r="I443" i="9"/>
  <c r="H443" i="9"/>
  <c r="G443" i="9"/>
  <c r="I442" i="9"/>
  <c r="H442" i="9"/>
  <c r="G442" i="9"/>
  <c r="I441" i="9"/>
  <c r="H441" i="9"/>
  <c r="G441" i="9"/>
  <c r="I440" i="9"/>
  <c r="H440" i="9"/>
  <c r="G440" i="9"/>
  <c r="I439" i="9"/>
  <c r="H439" i="9"/>
  <c r="G439" i="9"/>
  <c r="I438" i="9"/>
  <c r="H438" i="9"/>
  <c r="G438" i="9"/>
  <c r="I437" i="9"/>
  <c r="H437" i="9"/>
  <c r="G437" i="9"/>
  <c r="I436" i="9"/>
  <c r="H436" i="9"/>
  <c r="G436" i="9"/>
  <c r="I435" i="9"/>
  <c r="H435" i="9"/>
  <c r="G435" i="9"/>
  <c r="I434" i="9"/>
  <c r="H434" i="9"/>
  <c r="G434" i="9"/>
  <c r="I433" i="9"/>
  <c r="H433" i="9"/>
  <c r="G433" i="9"/>
  <c r="I432" i="9"/>
  <c r="H432" i="9"/>
  <c r="G432" i="9"/>
  <c r="I431" i="9"/>
  <c r="H431" i="9"/>
  <c r="G431" i="9"/>
  <c r="I430" i="9"/>
  <c r="H430" i="9"/>
  <c r="G430" i="9"/>
  <c r="I429" i="9"/>
  <c r="H429" i="9"/>
  <c r="G429" i="9"/>
  <c r="I428" i="9"/>
  <c r="H428" i="9"/>
  <c r="G428" i="9"/>
  <c r="I427" i="9"/>
  <c r="H427" i="9"/>
  <c r="G427" i="9"/>
  <c r="I426" i="9"/>
  <c r="H426" i="9"/>
  <c r="G426" i="9"/>
  <c r="I425" i="9"/>
  <c r="H425" i="9"/>
  <c r="G425" i="9"/>
  <c r="I424" i="9"/>
  <c r="H424" i="9"/>
  <c r="G424" i="9"/>
  <c r="I423" i="9"/>
  <c r="H423" i="9"/>
  <c r="G423" i="9"/>
  <c r="I422" i="9"/>
  <c r="H422" i="9"/>
  <c r="G422" i="9"/>
  <c r="I421" i="9"/>
  <c r="H421" i="9"/>
  <c r="G421" i="9"/>
  <c r="I420" i="9"/>
  <c r="H420" i="9"/>
  <c r="G420" i="9"/>
  <c r="I419" i="9"/>
  <c r="H419" i="9"/>
  <c r="G419" i="9"/>
  <c r="I418" i="9"/>
  <c r="H418" i="9"/>
  <c r="G418" i="9"/>
  <c r="I417" i="9"/>
  <c r="H417" i="9"/>
  <c r="G417" i="9"/>
  <c r="I416" i="9"/>
  <c r="H416" i="9"/>
  <c r="G416" i="9"/>
  <c r="I415" i="9"/>
  <c r="H415" i="9"/>
  <c r="G415" i="9"/>
  <c r="I414" i="9"/>
  <c r="H414" i="9"/>
  <c r="G414" i="9"/>
  <c r="I413" i="9"/>
  <c r="H413" i="9"/>
  <c r="G413" i="9"/>
  <c r="I412" i="9"/>
  <c r="H412" i="9"/>
  <c r="G412" i="9"/>
  <c r="I411" i="9"/>
  <c r="H411" i="9"/>
  <c r="G411" i="9"/>
  <c r="I410" i="9"/>
  <c r="H410" i="9"/>
  <c r="G410" i="9"/>
  <c r="I409" i="9"/>
  <c r="H409" i="9"/>
  <c r="G409" i="9"/>
  <c r="I408" i="9"/>
  <c r="H408" i="9"/>
  <c r="G408" i="9"/>
  <c r="I407" i="9"/>
  <c r="H407" i="9"/>
  <c r="G407" i="9"/>
  <c r="I406" i="9"/>
  <c r="H406" i="9"/>
  <c r="G406" i="9"/>
  <c r="I405" i="9"/>
  <c r="H405" i="9"/>
  <c r="G405" i="9"/>
  <c r="I404" i="9"/>
  <c r="H404" i="9"/>
  <c r="G404" i="9"/>
  <c r="I403" i="9"/>
  <c r="H403" i="9"/>
  <c r="G403" i="9"/>
  <c r="I402" i="9"/>
  <c r="H402" i="9"/>
  <c r="G402" i="9"/>
  <c r="I401" i="9"/>
  <c r="H401" i="9"/>
  <c r="G401" i="9"/>
  <c r="I400" i="9"/>
  <c r="H400" i="9"/>
  <c r="G400" i="9"/>
  <c r="I399" i="9"/>
  <c r="H399" i="9"/>
  <c r="G399" i="9"/>
  <c r="I398" i="9"/>
  <c r="H398" i="9"/>
  <c r="G398" i="9"/>
  <c r="I397" i="9"/>
  <c r="H397" i="9"/>
  <c r="G397" i="9"/>
  <c r="I396" i="9"/>
  <c r="H396" i="9"/>
  <c r="G396" i="9"/>
  <c r="I395" i="9"/>
  <c r="H395" i="9"/>
  <c r="G395" i="9"/>
  <c r="I394" i="9"/>
  <c r="H394" i="9"/>
  <c r="G394" i="9"/>
  <c r="I393" i="9"/>
  <c r="H393" i="9"/>
  <c r="G393" i="9"/>
  <c r="I392" i="9"/>
  <c r="H392" i="9"/>
  <c r="G392" i="9"/>
  <c r="I391" i="9"/>
  <c r="H391" i="9"/>
  <c r="G391" i="9"/>
  <c r="I390" i="9"/>
  <c r="H390" i="9"/>
  <c r="G390" i="9"/>
  <c r="I389" i="9"/>
  <c r="H389" i="9"/>
  <c r="G389" i="9"/>
  <c r="I388" i="9"/>
  <c r="H388" i="9"/>
  <c r="G388" i="9"/>
  <c r="I387" i="9"/>
  <c r="H387" i="9"/>
  <c r="G387" i="9"/>
  <c r="I386" i="9"/>
  <c r="H386" i="9"/>
  <c r="G386" i="9"/>
  <c r="I385" i="9"/>
  <c r="H385" i="9"/>
  <c r="G385" i="9"/>
  <c r="I384" i="9"/>
  <c r="H384" i="9"/>
  <c r="G384" i="9"/>
  <c r="I383" i="9"/>
  <c r="H383" i="9"/>
  <c r="G383" i="9"/>
  <c r="I382" i="9"/>
  <c r="H382" i="9"/>
  <c r="G382" i="9"/>
  <c r="I381" i="9"/>
  <c r="H381" i="9"/>
  <c r="G381" i="9"/>
  <c r="I380" i="9"/>
  <c r="H380" i="9"/>
  <c r="G380" i="9"/>
  <c r="I379" i="9"/>
  <c r="H379" i="9"/>
  <c r="G379" i="9"/>
  <c r="I378" i="9"/>
  <c r="H378" i="9"/>
  <c r="G378" i="9"/>
  <c r="I377" i="9"/>
  <c r="H377" i="9"/>
  <c r="G377" i="9"/>
  <c r="I376" i="9"/>
  <c r="H376" i="9"/>
  <c r="G376" i="9"/>
  <c r="I375" i="9"/>
  <c r="H375" i="9"/>
  <c r="G375" i="9"/>
  <c r="I374" i="9"/>
  <c r="H374" i="9"/>
  <c r="G374" i="9"/>
  <c r="I373" i="9"/>
  <c r="H373" i="9"/>
  <c r="G373" i="9"/>
  <c r="I372" i="9"/>
  <c r="H372" i="9"/>
  <c r="G372" i="9"/>
  <c r="I371" i="9"/>
  <c r="H371" i="9"/>
  <c r="G371" i="9"/>
  <c r="I370" i="9"/>
  <c r="H370" i="9"/>
  <c r="G370" i="9"/>
  <c r="I369" i="9"/>
  <c r="H369" i="9"/>
  <c r="G369" i="9"/>
  <c r="I368" i="9"/>
  <c r="H368" i="9"/>
  <c r="G368" i="9"/>
  <c r="I367" i="9"/>
  <c r="H367" i="9"/>
  <c r="G367" i="9"/>
  <c r="I366" i="9"/>
  <c r="H366" i="9"/>
  <c r="G366" i="9"/>
  <c r="I365" i="9"/>
  <c r="H365" i="9"/>
  <c r="G365" i="9"/>
  <c r="I364" i="9"/>
  <c r="H364" i="9"/>
  <c r="G364" i="9"/>
  <c r="I363" i="9"/>
  <c r="H363" i="9"/>
  <c r="G363" i="9"/>
  <c r="I362" i="9"/>
  <c r="H362" i="9"/>
  <c r="G362" i="9"/>
  <c r="I361" i="9"/>
  <c r="H361" i="9"/>
  <c r="G361" i="9"/>
  <c r="I360" i="9"/>
  <c r="H360" i="9"/>
  <c r="G360" i="9"/>
  <c r="I359" i="9"/>
  <c r="H359" i="9"/>
  <c r="G359" i="9"/>
  <c r="I358" i="9"/>
  <c r="H358" i="9"/>
  <c r="G358" i="9"/>
  <c r="I357" i="9"/>
  <c r="H357" i="9"/>
  <c r="G357" i="9"/>
  <c r="I356" i="9"/>
  <c r="H356" i="9"/>
  <c r="G356" i="9"/>
  <c r="I355" i="9"/>
  <c r="H355" i="9"/>
  <c r="G355" i="9"/>
  <c r="I354" i="9"/>
  <c r="H354" i="9"/>
  <c r="G354" i="9"/>
  <c r="I353" i="9"/>
  <c r="H353" i="9"/>
  <c r="G353" i="9"/>
  <c r="I352" i="9"/>
  <c r="H352" i="9"/>
  <c r="G352" i="9"/>
  <c r="I351" i="9"/>
  <c r="H351" i="9"/>
  <c r="G351" i="9"/>
  <c r="I350" i="9"/>
  <c r="H350" i="9"/>
  <c r="G350" i="9"/>
  <c r="I349" i="9"/>
  <c r="H349" i="9"/>
  <c r="G349" i="9"/>
  <c r="I348" i="9"/>
  <c r="H348" i="9"/>
  <c r="G348" i="9"/>
  <c r="I347" i="9"/>
  <c r="H347" i="9"/>
  <c r="G347" i="9"/>
  <c r="I346" i="9"/>
  <c r="H346" i="9"/>
  <c r="G346" i="9"/>
  <c r="I345" i="9"/>
  <c r="H345" i="9"/>
  <c r="G345" i="9"/>
  <c r="I344" i="9"/>
  <c r="H344" i="9"/>
  <c r="G344" i="9"/>
  <c r="I343" i="9"/>
  <c r="H343" i="9"/>
  <c r="G343" i="9"/>
  <c r="I342" i="9"/>
  <c r="H342" i="9"/>
  <c r="G342" i="9"/>
  <c r="I341" i="9"/>
  <c r="H341" i="9"/>
  <c r="G341" i="9"/>
  <c r="I340" i="9"/>
  <c r="H340" i="9"/>
  <c r="G340" i="9"/>
  <c r="I339" i="9"/>
  <c r="H339" i="9"/>
  <c r="G339" i="9"/>
  <c r="I338" i="9"/>
  <c r="H338" i="9"/>
  <c r="G338" i="9"/>
  <c r="I337" i="9"/>
  <c r="H337" i="9"/>
  <c r="G337" i="9"/>
  <c r="I336" i="9"/>
  <c r="H336" i="9"/>
  <c r="G336" i="9"/>
  <c r="I335" i="9"/>
  <c r="H335" i="9"/>
  <c r="G335" i="9"/>
  <c r="I334" i="9"/>
  <c r="H334" i="9"/>
  <c r="G334" i="9"/>
  <c r="I333" i="9"/>
  <c r="H333" i="9"/>
  <c r="G333" i="9"/>
  <c r="I332" i="9"/>
  <c r="H332" i="9"/>
  <c r="G332" i="9"/>
  <c r="I331" i="9"/>
  <c r="H331" i="9"/>
  <c r="G331" i="9"/>
  <c r="I330" i="9"/>
  <c r="H330" i="9"/>
  <c r="G330" i="9"/>
  <c r="I329" i="9"/>
  <c r="H329" i="9"/>
  <c r="G329" i="9"/>
  <c r="I328" i="9"/>
  <c r="H328" i="9"/>
  <c r="G328" i="9"/>
  <c r="I327" i="9"/>
  <c r="H327" i="9"/>
  <c r="G327" i="9"/>
  <c r="I326" i="9"/>
  <c r="H326" i="9"/>
  <c r="G326" i="9"/>
  <c r="I325" i="9"/>
  <c r="H325" i="9"/>
  <c r="G325" i="9"/>
  <c r="I324" i="9"/>
  <c r="H324" i="9"/>
  <c r="G324" i="9"/>
  <c r="I323" i="9"/>
  <c r="H323" i="9"/>
  <c r="G323" i="9"/>
  <c r="I322" i="9"/>
  <c r="H322" i="9"/>
  <c r="G322" i="9"/>
  <c r="I321" i="9"/>
  <c r="H321" i="9"/>
  <c r="G321" i="9"/>
  <c r="I320" i="9"/>
  <c r="H320" i="9"/>
  <c r="G320" i="9"/>
  <c r="I319" i="9"/>
  <c r="H319" i="9"/>
  <c r="G319" i="9"/>
  <c r="I318" i="9"/>
  <c r="H318" i="9"/>
  <c r="G318" i="9"/>
  <c r="I317" i="9"/>
  <c r="H317" i="9"/>
  <c r="G317" i="9"/>
  <c r="I316" i="9"/>
  <c r="H316" i="9"/>
  <c r="G316" i="9"/>
  <c r="I315" i="9"/>
  <c r="H315" i="9"/>
  <c r="G315" i="9"/>
  <c r="I314" i="9"/>
  <c r="H314" i="9"/>
  <c r="G314" i="9"/>
  <c r="I313" i="9"/>
  <c r="H313" i="9"/>
  <c r="G313" i="9"/>
  <c r="I312" i="9"/>
  <c r="H312" i="9"/>
  <c r="G312" i="9"/>
  <c r="I311" i="9"/>
  <c r="H311" i="9"/>
  <c r="G311" i="9"/>
  <c r="I310" i="9"/>
  <c r="H310" i="9"/>
  <c r="G310" i="9"/>
  <c r="I309" i="9"/>
  <c r="H309" i="9"/>
  <c r="G309" i="9"/>
  <c r="I308" i="9"/>
  <c r="H308" i="9"/>
  <c r="G308" i="9"/>
  <c r="I307" i="9"/>
  <c r="H307" i="9"/>
  <c r="G307" i="9"/>
  <c r="I306" i="9"/>
  <c r="H306" i="9"/>
  <c r="G306" i="9"/>
  <c r="I305" i="9"/>
  <c r="H305" i="9"/>
  <c r="G305" i="9"/>
  <c r="I304" i="9"/>
  <c r="H304" i="9"/>
  <c r="G304" i="9"/>
  <c r="I303" i="9"/>
  <c r="H303" i="9"/>
  <c r="G303" i="9"/>
  <c r="I302" i="9"/>
  <c r="H302" i="9"/>
  <c r="G302" i="9"/>
  <c r="I301" i="9"/>
  <c r="H301" i="9"/>
  <c r="G301" i="9"/>
  <c r="I300" i="9"/>
  <c r="H300" i="9"/>
  <c r="G300" i="9"/>
  <c r="I299" i="9"/>
  <c r="H299" i="9"/>
  <c r="G299" i="9"/>
  <c r="I298" i="9"/>
  <c r="H298" i="9"/>
  <c r="G298" i="9"/>
  <c r="I297" i="9"/>
  <c r="H297" i="9"/>
  <c r="G297" i="9"/>
  <c r="I296" i="9"/>
  <c r="H296" i="9"/>
  <c r="G296" i="9"/>
  <c r="I295" i="9"/>
  <c r="H295" i="9"/>
  <c r="G295" i="9"/>
  <c r="I294" i="9"/>
  <c r="H294" i="9"/>
  <c r="G294" i="9"/>
  <c r="I293" i="9"/>
  <c r="H293" i="9"/>
  <c r="G293" i="9"/>
  <c r="I292" i="9"/>
  <c r="H292" i="9"/>
  <c r="G292" i="9"/>
  <c r="I291" i="9"/>
  <c r="H291" i="9"/>
  <c r="G291" i="9"/>
  <c r="I290" i="9"/>
  <c r="H290" i="9"/>
  <c r="G290" i="9"/>
  <c r="I289" i="9"/>
  <c r="H289" i="9"/>
  <c r="G289" i="9"/>
  <c r="I288" i="9"/>
  <c r="H288" i="9"/>
  <c r="G288" i="9"/>
  <c r="I287" i="9"/>
  <c r="H287" i="9"/>
  <c r="G287" i="9"/>
  <c r="I286" i="9"/>
  <c r="H286" i="9"/>
  <c r="G286" i="9"/>
  <c r="I285" i="9"/>
  <c r="H285" i="9"/>
  <c r="G285" i="9"/>
  <c r="I284" i="9"/>
  <c r="H284" i="9"/>
  <c r="G284" i="9"/>
  <c r="I283" i="9"/>
  <c r="H283" i="9"/>
  <c r="G283" i="9"/>
  <c r="I282" i="9"/>
  <c r="H282" i="9"/>
  <c r="G282" i="9"/>
  <c r="I281" i="9"/>
  <c r="H281" i="9"/>
  <c r="G281" i="9"/>
  <c r="I280" i="9"/>
  <c r="H280" i="9"/>
  <c r="G280" i="9"/>
  <c r="I279" i="9"/>
  <c r="H279" i="9"/>
  <c r="G279" i="9"/>
  <c r="I278" i="9"/>
  <c r="H278" i="9"/>
  <c r="G278" i="9"/>
  <c r="I277" i="9"/>
  <c r="H277" i="9"/>
  <c r="G277" i="9"/>
  <c r="I276" i="9"/>
  <c r="H276" i="9"/>
  <c r="G276" i="9"/>
  <c r="I275" i="9"/>
  <c r="H275" i="9"/>
  <c r="G275" i="9"/>
  <c r="I274" i="9"/>
  <c r="H274" i="9"/>
  <c r="G274" i="9"/>
  <c r="I273" i="9"/>
  <c r="H273" i="9"/>
  <c r="G273" i="9"/>
  <c r="I272" i="9"/>
  <c r="H272" i="9"/>
  <c r="G272" i="9"/>
  <c r="I271" i="9"/>
  <c r="H271" i="9"/>
  <c r="G271" i="9"/>
  <c r="I270" i="9"/>
  <c r="H270" i="9"/>
  <c r="G270" i="9"/>
  <c r="I269" i="9"/>
  <c r="H269" i="9"/>
  <c r="G269" i="9"/>
  <c r="I268" i="9"/>
  <c r="H268" i="9"/>
  <c r="G268" i="9"/>
  <c r="I267" i="9"/>
  <c r="H267" i="9"/>
  <c r="G267" i="9"/>
  <c r="I266" i="9"/>
  <c r="H266" i="9"/>
  <c r="G266" i="9"/>
  <c r="I265" i="9"/>
  <c r="H265" i="9"/>
  <c r="G265" i="9"/>
  <c r="I264" i="9"/>
  <c r="H264" i="9"/>
  <c r="G264" i="9"/>
  <c r="I263" i="9"/>
  <c r="H263" i="9"/>
  <c r="G263" i="9"/>
  <c r="I262" i="9"/>
  <c r="H262" i="9"/>
  <c r="G262" i="9"/>
  <c r="I261" i="9"/>
  <c r="H261" i="9"/>
  <c r="G261" i="9"/>
  <c r="I260" i="9"/>
  <c r="H260" i="9"/>
  <c r="G260" i="9"/>
  <c r="I259" i="9"/>
  <c r="H259" i="9"/>
  <c r="G259" i="9"/>
  <c r="I258" i="9"/>
  <c r="H258" i="9"/>
  <c r="G258" i="9"/>
  <c r="I257" i="9"/>
  <c r="H257" i="9"/>
  <c r="G257" i="9"/>
  <c r="I256" i="9"/>
  <c r="H256" i="9"/>
  <c r="G256" i="9"/>
  <c r="I255" i="9"/>
  <c r="H255" i="9"/>
  <c r="G255" i="9"/>
  <c r="I254" i="9"/>
  <c r="H254" i="9"/>
  <c r="G254" i="9"/>
  <c r="I253" i="9"/>
  <c r="H253" i="9"/>
  <c r="G253" i="9"/>
  <c r="I252" i="9"/>
  <c r="H252" i="9"/>
  <c r="G252" i="9"/>
  <c r="I251" i="9"/>
  <c r="H251" i="9"/>
  <c r="G251" i="9"/>
  <c r="I250" i="9"/>
  <c r="H250" i="9"/>
  <c r="G250" i="9"/>
  <c r="I249" i="9"/>
  <c r="H249" i="9"/>
  <c r="G249" i="9"/>
  <c r="I248" i="9"/>
  <c r="H248" i="9"/>
  <c r="G248" i="9"/>
  <c r="I247" i="9"/>
  <c r="H247" i="9"/>
  <c r="G247" i="9"/>
  <c r="I246" i="9"/>
  <c r="H246" i="9"/>
  <c r="G246" i="9"/>
  <c r="I245" i="9"/>
  <c r="H245" i="9"/>
  <c r="G245" i="9"/>
  <c r="I244" i="9"/>
  <c r="H244" i="9"/>
  <c r="G244" i="9"/>
  <c r="I243" i="9"/>
  <c r="H243" i="9"/>
  <c r="G243" i="9"/>
  <c r="I242" i="9"/>
  <c r="H242" i="9"/>
  <c r="G242" i="9"/>
  <c r="I241" i="9"/>
  <c r="H241" i="9"/>
  <c r="G241" i="9"/>
  <c r="I240" i="9"/>
  <c r="H240" i="9"/>
  <c r="G240" i="9"/>
  <c r="I239" i="9"/>
  <c r="H239" i="9"/>
  <c r="G239" i="9"/>
  <c r="I238" i="9"/>
  <c r="H238" i="9"/>
  <c r="G238" i="9"/>
  <c r="I237" i="9"/>
  <c r="H237" i="9"/>
  <c r="G237" i="9"/>
  <c r="I236" i="9"/>
  <c r="H236" i="9"/>
  <c r="G236" i="9"/>
  <c r="I235" i="9"/>
  <c r="H235" i="9"/>
  <c r="G235" i="9"/>
  <c r="I234" i="9"/>
  <c r="H234" i="9"/>
  <c r="G234" i="9"/>
  <c r="I233" i="9"/>
  <c r="H233" i="9"/>
  <c r="G233" i="9"/>
  <c r="I232" i="9"/>
  <c r="H232" i="9"/>
  <c r="G232" i="9"/>
  <c r="I231" i="9"/>
  <c r="H231" i="9"/>
  <c r="G231" i="9"/>
  <c r="I230" i="9"/>
  <c r="H230" i="9"/>
  <c r="G230" i="9"/>
  <c r="I229" i="9"/>
  <c r="H229" i="9"/>
  <c r="G229" i="9"/>
  <c r="I228" i="9"/>
  <c r="H228" i="9"/>
  <c r="G228" i="9"/>
  <c r="I227" i="9"/>
  <c r="H227" i="9"/>
  <c r="G227" i="9"/>
  <c r="I226" i="9"/>
  <c r="H226" i="9"/>
  <c r="G226" i="9"/>
  <c r="I225" i="9"/>
  <c r="H225" i="9"/>
  <c r="G225" i="9"/>
  <c r="I224" i="9"/>
  <c r="H224" i="9"/>
  <c r="G224" i="9"/>
  <c r="I223" i="9"/>
  <c r="H223" i="9"/>
  <c r="G223" i="9"/>
  <c r="I222" i="9"/>
  <c r="H222" i="9"/>
  <c r="G222" i="9"/>
  <c r="I221" i="9"/>
  <c r="H221" i="9"/>
  <c r="G221" i="9"/>
  <c r="I220" i="9"/>
  <c r="H220" i="9"/>
  <c r="G220" i="9"/>
  <c r="I219" i="9"/>
  <c r="H219" i="9"/>
  <c r="G219" i="9"/>
  <c r="I218" i="9"/>
  <c r="H218" i="9"/>
  <c r="G218" i="9"/>
  <c r="I217" i="9"/>
  <c r="H217" i="9"/>
  <c r="G217" i="9"/>
  <c r="I216" i="9"/>
  <c r="H216" i="9"/>
  <c r="G216" i="9"/>
  <c r="I215" i="9"/>
  <c r="H215" i="9"/>
  <c r="G215" i="9"/>
  <c r="I214" i="9"/>
  <c r="H214" i="9"/>
  <c r="G214" i="9"/>
  <c r="I213" i="9"/>
  <c r="H213" i="9"/>
  <c r="G213" i="9"/>
  <c r="I212" i="9"/>
  <c r="H212" i="9"/>
  <c r="G212" i="9"/>
  <c r="I211" i="9"/>
  <c r="H211" i="9"/>
  <c r="G211" i="9"/>
  <c r="I210" i="9"/>
  <c r="H210" i="9"/>
  <c r="G210" i="9"/>
  <c r="I209" i="9"/>
  <c r="H209" i="9"/>
  <c r="G209" i="9"/>
  <c r="I208" i="9"/>
  <c r="H208" i="9"/>
  <c r="G208" i="9"/>
  <c r="I207" i="9"/>
  <c r="H207" i="9"/>
  <c r="G207" i="9"/>
  <c r="I206" i="9"/>
  <c r="H206" i="9"/>
  <c r="G206" i="9"/>
  <c r="I205" i="9"/>
  <c r="H205" i="9"/>
  <c r="G205" i="9"/>
  <c r="I204" i="9"/>
  <c r="H204" i="9"/>
  <c r="G204" i="9"/>
  <c r="I203" i="9"/>
  <c r="H203" i="9"/>
  <c r="G203" i="9"/>
  <c r="I202" i="9"/>
  <c r="H202" i="9"/>
  <c r="G202" i="9"/>
  <c r="I201" i="9"/>
  <c r="H201" i="9"/>
  <c r="G201" i="9"/>
  <c r="I200" i="9"/>
  <c r="H200" i="9"/>
  <c r="G200" i="9"/>
  <c r="I199" i="9"/>
  <c r="H199" i="9"/>
  <c r="G199" i="9"/>
  <c r="I198" i="9"/>
  <c r="H198" i="9"/>
  <c r="G198" i="9"/>
  <c r="I197" i="9"/>
  <c r="H197" i="9"/>
  <c r="G197" i="9"/>
  <c r="I196" i="9"/>
  <c r="H196" i="9"/>
  <c r="G196" i="9"/>
  <c r="I195" i="9"/>
  <c r="H195" i="9"/>
  <c r="G195" i="9"/>
  <c r="I194" i="9"/>
  <c r="H194" i="9"/>
  <c r="G194" i="9"/>
  <c r="I193" i="9"/>
  <c r="H193" i="9"/>
  <c r="G193" i="9"/>
  <c r="I192" i="9"/>
  <c r="H192" i="9"/>
  <c r="G192" i="9"/>
  <c r="I191" i="9"/>
  <c r="H191" i="9"/>
  <c r="G191" i="9"/>
  <c r="I190" i="9"/>
  <c r="H190" i="9"/>
  <c r="G190" i="9"/>
  <c r="I189" i="9"/>
  <c r="H189" i="9"/>
  <c r="G189" i="9"/>
  <c r="I188" i="9"/>
  <c r="H188" i="9"/>
  <c r="G188" i="9"/>
  <c r="I187" i="9"/>
  <c r="H187" i="9"/>
  <c r="G187" i="9"/>
  <c r="I186" i="9"/>
  <c r="H186" i="9"/>
  <c r="G186" i="9"/>
  <c r="I185" i="9"/>
  <c r="H185" i="9"/>
  <c r="G185" i="9"/>
  <c r="I184" i="9"/>
  <c r="H184" i="9"/>
  <c r="G184" i="9"/>
  <c r="I183" i="9"/>
  <c r="H183" i="9"/>
  <c r="G183" i="9"/>
  <c r="I182" i="9"/>
  <c r="H182" i="9"/>
  <c r="G182" i="9"/>
  <c r="I181" i="9"/>
  <c r="H181" i="9"/>
  <c r="G181" i="9"/>
  <c r="I180" i="9"/>
  <c r="H180" i="9"/>
  <c r="G180" i="9"/>
  <c r="I179" i="9"/>
  <c r="H179" i="9"/>
  <c r="G179" i="9"/>
  <c r="I178" i="9"/>
  <c r="H178" i="9"/>
  <c r="G178" i="9"/>
  <c r="I177" i="9"/>
  <c r="H177" i="9"/>
  <c r="G177" i="9"/>
  <c r="I176" i="9"/>
  <c r="H176" i="9"/>
  <c r="G176" i="9"/>
  <c r="I175" i="9"/>
  <c r="H175" i="9"/>
  <c r="G175" i="9"/>
  <c r="I174" i="9"/>
  <c r="H174" i="9"/>
  <c r="G174" i="9"/>
  <c r="I173" i="9"/>
  <c r="H173" i="9"/>
  <c r="G173" i="9"/>
  <c r="I172" i="9"/>
  <c r="H172" i="9"/>
  <c r="G172" i="9"/>
  <c r="I171" i="9"/>
  <c r="H171" i="9"/>
  <c r="G171" i="9"/>
  <c r="I170" i="9"/>
  <c r="H170" i="9"/>
  <c r="G170" i="9"/>
  <c r="I169" i="9"/>
  <c r="H169" i="9"/>
  <c r="G169" i="9"/>
  <c r="I168" i="9"/>
  <c r="H168" i="9"/>
  <c r="G168" i="9"/>
  <c r="I167" i="9"/>
  <c r="H167" i="9"/>
  <c r="G167" i="9"/>
  <c r="I166" i="9"/>
  <c r="H166" i="9"/>
  <c r="G166" i="9"/>
  <c r="I165" i="9"/>
  <c r="H165" i="9"/>
  <c r="G165" i="9"/>
  <c r="I164" i="9"/>
  <c r="H164" i="9"/>
  <c r="G164" i="9"/>
  <c r="I163" i="9"/>
  <c r="H163" i="9"/>
  <c r="G163" i="9"/>
  <c r="I162" i="9"/>
  <c r="H162" i="9"/>
  <c r="G162" i="9"/>
  <c r="I161" i="9"/>
  <c r="H161" i="9"/>
  <c r="G161" i="9"/>
  <c r="I160" i="9"/>
  <c r="H160" i="9"/>
  <c r="G160" i="9"/>
  <c r="I159" i="9"/>
  <c r="H159" i="9"/>
  <c r="G159" i="9"/>
  <c r="I158" i="9"/>
  <c r="H158" i="9"/>
  <c r="G158" i="9"/>
  <c r="I157" i="9"/>
  <c r="H157" i="9"/>
  <c r="G157" i="9"/>
  <c r="I156" i="9"/>
  <c r="H156" i="9"/>
  <c r="G156" i="9"/>
  <c r="I155" i="9"/>
  <c r="H155" i="9"/>
  <c r="G155" i="9"/>
  <c r="I154" i="9"/>
  <c r="H154" i="9"/>
  <c r="G154" i="9"/>
  <c r="I153" i="9"/>
  <c r="H153" i="9"/>
  <c r="G153" i="9"/>
  <c r="I152" i="9"/>
  <c r="H152" i="9"/>
  <c r="G152" i="9"/>
  <c r="I151" i="9"/>
  <c r="H151" i="9"/>
  <c r="G151" i="9"/>
  <c r="I150" i="9"/>
  <c r="H150" i="9"/>
  <c r="G150" i="9"/>
  <c r="I149" i="9"/>
  <c r="H149" i="9"/>
  <c r="G149" i="9"/>
  <c r="I148" i="9"/>
  <c r="H148" i="9"/>
  <c r="G148" i="9"/>
  <c r="I147" i="9"/>
  <c r="H147" i="9"/>
  <c r="G147" i="9"/>
  <c r="I146" i="9"/>
  <c r="H146" i="9"/>
  <c r="G146" i="9"/>
  <c r="I145" i="9"/>
  <c r="H145" i="9"/>
  <c r="G145" i="9"/>
  <c r="I144" i="9"/>
  <c r="H144" i="9"/>
  <c r="G144" i="9"/>
  <c r="I143" i="9"/>
  <c r="H143" i="9"/>
  <c r="G143" i="9"/>
  <c r="I142" i="9"/>
  <c r="H142" i="9"/>
  <c r="G142" i="9"/>
  <c r="I141" i="9"/>
  <c r="H141" i="9"/>
  <c r="G141" i="9"/>
  <c r="I140" i="9"/>
  <c r="H140" i="9"/>
  <c r="G140" i="9"/>
  <c r="I139" i="9"/>
  <c r="H139" i="9"/>
  <c r="G139" i="9"/>
  <c r="I138" i="9"/>
  <c r="H138" i="9"/>
  <c r="G138" i="9"/>
  <c r="I137" i="9"/>
  <c r="H137" i="9"/>
  <c r="G137" i="9"/>
  <c r="I136" i="9"/>
  <c r="H136" i="9"/>
  <c r="G136" i="9"/>
  <c r="I135" i="9"/>
  <c r="H135" i="9"/>
  <c r="G135" i="9"/>
  <c r="I134" i="9"/>
  <c r="H134" i="9"/>
  <c r="G134" i="9"/>
  <c r="I133" i="9"/>
  <c r="H133" i="9"/>
  <c r="G133" i="9"/>
  <c r="I132" i="9"/>
  <c r="H132" i="9"/>
  <c r="G132" i="9"/>
  <c r="I131" i="9"/>
  <c r="H131" i="9"/>
  <c r="G131" i="9"/>
  <c r="I130" i="9"/>
  <c r="H130" i="9"/>
  <c r="G130" i="9"/>
  <c r="I129" i="9"/>
  <c r="H129" i="9"/>
  <c r="G129" i="9"/>
  <c r="I128" i="9"/>
  <c r="H128" i="9"/>
  <c r="G128" i="9"/>
  <c r="I127" i="9"/>
  <c r="H127" i="9"/>
  <c r="G127" i="9"/>
  <c r="I126" i="9"/>
  <c r="H126" i="9"/>
  <c r="G126" i="9"/>
  <c r="I125" i="9"/>
  <c r="H125" i="9"/>
  <c r="G125" i="9"/>
  <c r="I124" i="9"/>
  <c r="H124" i="9"/>
  <c r="G124" i="9"/>
  <c r="I123" i="9"/>
  <c r="H123" i="9"/>
  <c r="G123" i="9"/>
  <c r="I122" i="9"/>
  <c r="H122" i="9"/>
  <c r="G122" i="9"/>
  <c r="I121" i="9"/>
  <c r="H121" i="9"/>
  <c r="G121" i="9"/>
  <c r="I120" i="9"/>
  <c r="H120" i="9"/>
  <c r="G120" i="9"/>
  <c r="I119" i="9"/>
  <c r="H119" i="9"/>
  <c r="G119" i="9"/>
  <c r="I118" i="9"/>
  <c r="H118" i="9"/>
  <c r="G118" i="9"/>
  <c r="I117" i="9"/>
  <c r="H117" i="9"/>
  <c r="G117" i="9"/>
  <c r="I116" i="9"/>
  <c r="H116" i="9"/>
  <c r="G116" i="9"/>
  <c r="I115" i="9"/>
  <c r="H115" i="9"/>
  <c r="G115" i="9"/>
  <c r="I114" i="9"/>
  <c r="H114" i="9"/>
  <c r="G114" i="9"/>
  <c r="I113" i="9"/>
  <c r="H113" i="9"/>
  <c r="G113" i="9"/>
  <c r="I112" i="9"/>
  <c r="H112" i="9"/>
  <c r="G112" i="9"/>
  <c r="I111" i="9"/>
  <c r="H111" i="9"/>
  <c r="G111" i="9"/>
  <c r="I110" i="9"/>
  <c r="H110" i="9"/>
  <c r="G110" i="9"/>
  <c r="I109" i="9"/>
  <c r="H109" i="9"/>
  <c r="G109" i="9"/>
  <c r="I108" i="9"/>
  <c r="H108" i="9"/>
  <c r="G108" i="9"/>
  <c r="I107" i="9"/>
  <c r="H107" i="9"/>
  <c r="G107" i="9"/>
  <c r="I106" i="9"/>
  <c r="H106" i="9"/>
  <c r="G106" i="9"/>
  <c r="I105" i="9"/>
  <c r="H105" i="9"/>
  <c r="G105" i="9"/>
  <c r="I104" i="9"/>
  <c r="H104" i="9"/>
  <c r="G104" i="9"/>
  <c r="I103" i="9"/>
  <c r="H103" i="9"/>
  <c r="G103" i="9"/>
  <c r="I102" i="9"/>
  <c r="H102" i="9"/>
  <c r="G102" i="9"/>
  <c r="I101" i="9"/>
  <c r="H101" i="9"/>
  <c r="G101" i="9"/>
  <c r="I100" i="9"/>
  <c r="H100" i="9"/>
  <c r="G100" i="9"/>
  <c r="I99" i="9"/>
  <c r="H99" i="9"/>
  <c r="G99" i="9"/>
  <c r="I98" i="9"/>
  <c r="H98" i="9"/>
  <c r="G98" i="9"/>
  <c r="I97" i="9"/>
  <c r="H97" i="9"/>
  <c r="G97" i="9"/>
  <c r="I96" i="9"/>
  <c r="H96" i="9"/>
  <c r="G96" i="9"/>
  <c r="I95" i="9"/>
  <c r="H95" i="9"/>
  <c r="G95" i="9"/>
  <c r="I94" i="9"/>
  <c r="H94" i="9"/>
  <c r="G94" i="9"/>
  <c r="I93" i="9"/>
  <c r="H93" i="9"/>
  <c r="G93" i="9"/>
  <c r="I92" i="9"/>
  <c r="H92" i="9"/>
  <c r="G92" i="9"/>
  <c r="I91" i="9"/>
  <c r="H91" i="9"/>
  <c r="G91" i="9"/>
  <c r="I90" i="9"/>
  <c r="H90" i="9"/>
  <c r="G90" i="9"/>
  <c r="I89" i="9"/>
  <c r="H89" i="9"/>
  <c r="G89" i="9"/>
  <c r="I88" i="9"/>
  <c r="H88" i="9"/>
  <c r="G88" i="9"/>
  <c r="I87" i="9"/>
  <c r="H87" i="9"/>
  <c r="G87" i="9"/>
  <c r="I86" i="9"/>
  <c r="H86" i="9"/>
  <c r="G86" i="9"/>
  <c r="I85" i="9"/>
  <c r="H85" i="9"/>
  <c r="G85" i="9"/>
  <c r="I84" i="9"/>
  <c r="H84" i="9"/>
  <c r="G84" i="9"/>
  <c r="I83" i="9"/>
  <c r="H83" i="9"/>
  <c r="G83" i="9"/>
  <c r="I82" i="9"/>
  <c r="H82" i="9"/>
  <c r="G82" i="9"/>
  <c r="I81" i="9"/>
  <c r="H81" i="9"/>
  <c r="G81" i="9"/>
  <c r="I80" i="9"/>
  <c r="H80" i="9"/>
  <c r="G80" i="9"/>
  <c r="I79" i="9"/>
  <c r="H79" i="9"/>
  <c r="G79" i="9"/>
  <c r="I78" i="9"/>
  <c r="H78" i="9"/>
  <c r="G78" i="9"/>
  <c r="I77" i="9"/>
  <c r="H77" i="9"/>
  <c r="G77" i="9"/>
  <c r="I76" i="9"/>
  <c r="H76" i="9"/>
  <c r="G76" i="9"/>
  <c r="I75" i="9"/>
  <c r="H75" i="9"/>
  <c r="G75" i="9"/>
  <c r="I74" i="9"/>
  <c r="H74" i="9"/>
  <c r="G74" i="9"/>
  <c r="I73" i="9"/>
  <c r="H73" i="9"/>
  <c r="G73" i="9"/>
  <c r="I72" i="9"/>
  <c r="H72" i="9"/>
  <c r="G72" i="9"/>
  <c r="I71" i="9"/>
  <c r="H71" i="9"/>
  <c r="G71" i="9"/>
  <c r="I70" i="9"/>
  <c r="H70" i="9"/>
  <c r="G70" i="9"/>
  <c r="I69" i="9"/>
  <c r="H69" i="9"/>
  <c r="G69" i="9"/>
  <c r="I68" i="9"/>
  <c r="H68" i="9"/>
  <c r="G68" i="9"/>
  <c r="I67" i="9"/>
  <c r="H67" i="9"/>
  <c r="G67" i="9"/>
  <c r="I66" i="9"/>
  <c r="H66" i="9"/>
  <c r="G66" i="9"/>
  <c r="I65" i="9"/>
  <c r="H65" i="9"/>
  <c r="G65" i="9"/>
  <c r="I64" i="9"/>
  <c r="H64" i="9"/>
  <c r="G64" i="9"/>
  <c r="I63" i="9"/>
  <c r="H63" i="9"/>
  <c r="G63" i="9"/>
  <c r="I62" i="9"/>
  <c r="H62" i="9"/>
  <c r="G62" i="9"/>
  <c r="I61" i="9"/>
  <c r="H61" i="9"/>
  <c r="G61" i="9"/>
  <c r="I60" i="9"/>
  <c r="H60" i="9"/>
  <c r="G60" i="9"/>
  <c r="I59" i="9"/>
  <c r="H59" i="9"/>
  <c r="G59" i="9"/>
  <c r="I58" i="9"/>
  <c r="H58" i="9"/>
  <c r="G58" i="9"/>
  <c r="I57" i="9"/>
  <c r="H57" i="9"/>
  <c r="G57" i="9"/>
  <c r="I56" i="9"/>
  <c r="H56" i="9"/>
  <c r="G56" i="9"/>
  <c r="I55" i="9"/>
  <c r="H55" i="9"/>
  <c r="G55" i="9"/>
  <c r="I54" i="9"/>
  <c r="H54" i="9"/>
  <c r="G54" i="9"/>
  <c r="I53" i="9"/>
  <c r="H53" i="9"/>
  <c r="G53" i="9"/>
  <c r="I52" i="9"/>
  <c r="H52" i="9"/>
  <c r="G52" i="9"/>
  <c r="I51" i="9"/>
  <c r="H51" i="9"/>
  <c r="G51" i="9"/>
  <c r="I50" i="9"/>
  <c r="H50" i="9"/>
  <c r="G50" i="9"/>
  <c r="I49" i="9"/>
  <c r="H49" i="9"/>
  <c r="G49" i="9"/>
  <c r="I48" i="9"/>
  <c r="H48" i="9"/>
  <c r="G48" i="9"/>
  <c r="I47" i="9"/>
  <c r="H47" i="9"/>
  <c r="G47" i="9"/>
  <c r="I46" i="9"/>
  <c r="H46" i="9"/>
  <c r="G46" i="9"/>
  <c r="I45" i="9"/>
  <c r="H45" i="9"/>
  <c r="G45" i="9"/>
  <c r="I44" i="9"/>
  <c r="H44" i="9"/>
  <c r="G44" i="9"/>
  <c r="I43" i="9"/>
  <c r="H43" i="9"/>
  <c r="G43" i="9"/>
  <c r="I42" i="9"/>
  <c r="H42" i="9"/>
  <c r="G42" i="9"/>
  <c r="I41" i="9"/>
  <c r="H41" i="9"/>
  <c r="G41" i="9"/>
  <c r="I40" i="9"/>
  <c r="H40" i="9"/>
  <c r="G40" i="9"/>
  <c r="I39" i="9"/>
  <c r="H39" i="9"/>
  <c r="G39" i="9"/>
  <c r="I38" i="9"/>
  <c r="H38" i="9"/>
  <c r="G38" i="9"/>
  <c r="I37" i="9"/>
  <c r="H37" i="9"/>
  <c r="G37" i="9"/>
  <c r="I36" i="9"/>
  <c r="H36" i="9"/>
  <c r="G36" i="9"/>
  <c r="I35" i="9"/>
  <c r="H35" i="9"/>
  <c r="G35" i="9"/>
  <c r="I34" i="9"/>
  <c r="H34" i="9"/>
  <c r="G34" i="9"/>
  <c r="I33" i="9"/>
  <c r="H33" i="9"/>
  <c r="G33" i="9"/>
  <c r="I32" i="9"/>
  <c r="H32" i="9"/>
  <c r="G32" i="9"/>
  <c r="I31" i="9"/>
  <c r="H31" i="9"/>
  <c r="G31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I8" i="9"/>
  <c r="H8" i="9"/>
  <c r="G8" i="9"/>
  <c r="I7" i="9"/>
  <c r="H7" i="9"/>
  <c r="G7" i="9"/>
  <c r="I6" i="9"/>
  <c r="H6" i="9"/>
  <c r="G6" i="9"/>
  <c r="I5" i="9"/>
  <c r="H5" i="9"/>
  <c r="G5" i="9"/>
  <c r="I4" i="9"/>
  <c r="H4" i="9"/>
  <c r="G4" i="9"/>
  <c r="I3" i="9"/>
  <c r="H3" i="9"/>
  <c r="G3" i="9"/>
</calcChain>
</file>

<file path=xl/sharedStrings.xml><?xml version="1.0" encoding="utf-8"?>
<sst xmlns="http://schemas.openxmlformats.org/spreadsheetml/2006/main" count="9178" uniqueCount="1077">
  <si>
    <t>ID</t>
  </si>
  <si>
    <t>Nom</t>
  </si>
  <si>
    <t>Zone</t>
  </si>
  <si>
    <t>Pays</t>
  </si>
  <si>
    <t>Type</t>
  </si>
  <si>
    <t>Latitude</t>
  </si>
  <si>
    <t>Longitude</t>
  </si>
  <si>
    <t>Note /5</t>
  </si>
  <si>
    <t>Prot. N</t>
  </si>
  <si>
    <t>Prot. NE</t>
  </si>
  <si>
    <t>Prot. E</t>
  </si>
  <si>
    <t>Prot. SE</t>
  </si>
  <si>
    <t>Prot. S</t>
  </si>
  <si>
    <t>Prot. SO</t>
  </si>
  <si>
    <t>Prot. O</t>
  </si>
  <si>
    <t>Prot. NO</t>
  </si>
  <si>
    <t>Prof. min</t>
  </si>
  <si>
    <t>Prof. max</t>
  </si>
  <si>
    <t>Fond</t>
  </si>
  <si>
    <t>Tenue estimée</t>
  </si>
  <si>
    <t>Aussières</t>
  </si>
  <si>
    <t>Canal VHF</t>
  </si>
  <si>
    <t>Téléphone</t>
  </si>
  <si>
    <t>Carburant</t>
  </si>
  <si>
    <t>Eau</t>
  </si>
  <si>
    <t>Électricité</t>
  </si>
  <si>
    <t>Douches</t>
  </si>
  <si>
    <t>Laverie</t>
  </si>
  <si>
    <t>Wi-Fi</t>
  </si>
  <si>
    <t>Déchets</t>
  </si>
  <si>
    <t>Chantier / réparations</t>
  </si>
  <si>
    <t>Supermarché</t>
  </si>
  <si>
    <t>Restaurant / Snack</t>
  </si>
  <si>
    <t>Notes THETIS</t>
  </si>
  <si>
    <t>Photo</t>
  </si>
  <si>
    <t>Niveau de confiance</t>
  </si>
  <si>
    <t>Services (historique)</t>
  </si>
  <si>
    <t>Prix indicatif</t>
  </si>
  <si>
    <t>État donnée</t>
  </si>
  <si>
    <t>Statut</t>
  </si>
  <si>
    <t>Précision position</t>
  </si>
  <si>
    <t>Méthode / source</t>
  </si>
  <si>
    <t>Date de vérification</t>
  </si>
  <si>
    <t>Usage recommandé</t>
  </si>
  <si>
    <t>Confiance protection</t>
  </si>
  <si>
    <t>Méthode protection</t>
  </si>
  <si>
    <t>Avertissement protection</t>
  </si>
  <si>
    <t>Confiance fond/aussières</t>
  </si>
  <si>
    <t>Méthode fond/aussières</t>
  </si>
  <si>
    <t>Définition note /5</t>
  </si>
  <si>
    <t>Avertissement</t>
  </si>
  <si>
    <t>S001</t>
  </si>
  <si>
    <t>Çeşme Marina</t>
  </si>
  <si>
    <t>Turquie – Çeşme / Alaçatı</t>
  </si>
  <si>
    <t>Turquie</t>
  </si>
  <si>
    <t>Marina</t>
  </si>
  <si>
    <t>Excellente</t>
  </si>
  <si>
    <t>Bonne</t>
  </si>
  <si>
    <t>Vase</t>
  </si>
  <si>
    <t>Bonne à très bonne</t>
  </si>
  <si>
    <t>Pendilles / quai</t>
  </si>
  <si>
    <t>72</t>
  </si>
  <si>
    <t>À documenter</t>
  </si>
  <si>
    <t>Oui</t>
  </si>
  <si>
    <t>photos/S001.jpg</t>
  </si>
  <si>
    <t>Préparation</t>
  </si>
  <si>
    <t>Coordonnées indicatives</t>
  </si>
  <si>
    <t>À étudier</t>
  </si>
  <si>
    <t>Indicative – site connu</t>
  </si>
  <si>
    <t>Coordonnée géographique de préparation déjà présente</t>
  </si>
  <si>
    <t>Préparation générale ; confirmer sur carte marine avant route</t>
  </si>
  <si>
    <t>Moyenne</t>
  </si>
  <si>
    <t>Profil générique de marina selon secteur côtier</t>
  </si>
  <si>
    <t>À vérifier sur Navionics / carte marine et sur place</t>
  </si>
  <si>
    <t>Profil générique de marina et intérêt pratique</t>
  </si>
  <si>
    <t>Note de préparation : intérêt pratique/agrément estimé, pas une note de sécurité</t>
  </si>
  <si>
    <t>À vérifier sur Navionics, guide nautique récent et appréciation sur place</t>
  </si>
  <si>
    <t>S002</t>
  </si>
  <si>
    <t>Çeşme Port</t>
  </si>
  <si>
    <t>Port / quai</t>
  </si>
  <si>
    <t>Sable / vase</t>
  </si>
  <si>
    <t>Variable selon bassin</t>
  </si>
  <si>
    <t>Quai avec pendilles</t>
  </si>
  <si>
    <t>À vérifier</t>
  </si>
  <si>
    <t>photos/S002.jpg</t>
  </si>
  <si>
    <t>Coordonnées approximatives – secteur</t>
  </si>
  <si>
    <t>Approximation de secteur</t>
  </si>
  <si>
    <t>Centre de zone + décalage indicatif</t>
  </si>
  <si>
    <t>Repérage seulement ; ne jamais utiliser comme waypoint</t>
  </si>
  <si>
    <t>Faible à moyenne</t>
  </si>
  <si>
    <t>Profil générique de port selon secteur côtier</t>
  </si>
  <si>
    <t>Profil générique de port et accessibilité</t>
  </si>
  <si>
    <t>S003</t>
  </si>
  <si>
    <t>Dalyan Koyu</t>
  </si>
  <si>
    <t>Baie / mouillage</t>
  </si>
  <si>
    <t>Faible</t>
  </si>
  <si>
    <t>Sable</t>
  </si>
  <si>
    <t>Non nécessaires</t>
  </si>
  <si>
    <t>—</t>
  </si>
  <si>
    <t>photos/S003.jpg</t>
  </si>
  <si>
    <t>Estimation régionale selon type et orientation générale de côte</t>
  </si>
  <si>
    <t>Estimation régionale selon type de site et intérêt supposé</t>
  </si>
  <si>
    <t>S004</t>
  </si>
  <si>
    <t>Aya Yorgi Koyu</t>
  </si>
  <si>
    <t>À confirmer sur place</t>
  </si>
  <si>
    <t>photos/S004.jpg</t>
  </si>
  <si>
    <t>S005</t>
  </si>
  <si>
    <t>Paşalimanı</t>
  </si>
  <si>
    <t>Fond dur / vase</t>
  </si>
  <si>
    <t>Ancre et cul au quai</t>
  </si>
  <si>
    <t>photos/S005.jpg</t>
  </si>
  <si>
    <t>S006</t>
  </si>
  <si>
    <t>Ildır Körfezi</t>
  </si>
  <si>
    <t>Sable / herbier</t>
  </si>
  <si>
    <t>Variable</t>
  </si>
  <si>
    <t>Souvent utiles</t>
  </si>
  <si>
    <t>photos/S006.jpg</t>
  </si>
  <si>
    <t>S007</t>
  </si>
  <si>
    <t>Alaçatı Marina</t>
  </si>
  <si>
    <t>photos/S007.jpg</t>
  </si>
  <si>
    <t>S008</t>
  </si>
  <si>
    <t>Mersin Koyu</t>
  </si>
  <si>
    <t>Possibles</t>
  </si>
  <si>
    <t>Non</t>
  </si>
  <si>
    <t>photos/S008.jpg</t>
  </si>
  <si>
    <t>S009</t>
  </si>
  <si>
    <t>Eşek Adası</t>
  </si>
  <si>
    <t>photos/S009.jpg</t>
  </si>
  <si>
    <t>S010</t>
  </si>
  <si>
    <t>Kara Ada</t>
  </si>
  <si>
    <t>photos/S010.jpg</t>
  </si>
  <si>
    <t>S011</t>
  </si>
  <si>
    <t>Çiftlik Koyu</t>
  </si>
  <si>
    <t>photos/S011.jpg</t>
  </si>
  <si>
    <t>S012</t>
  </si>
  <si>
    <t>Gerence Koyu</t>
  </si>
  <si>
    <t>photos/S012.jpg</t>
  </si>
  <si>
    <t>S013</t>
  </si>
  <si>
    <t>Kuşadası Marina</t>
  </si>
  <si>
    <t>Turquie – Kuşadası / Didim</t>
  </si>
  <si>
    <t>Sable vaseux</t>
  </si>
  <si>
    <t>73</t>
  </si>
  <si>
    <t>photos/S013.jpg</t>
  </si>
  <si>
    <t>S014</t>
  </si>
  <si>
    <t>Kuşadası Port</t>
  </si>
  <si>
    <t>photos/S014.jpg</t>
  </si>
  <si>
    <t>S015</t>
  </si>
  <si>
    <t>Güzelçamlı</t>
  </si>
  <si>
    <t>photos/S015.jpg</t>
  </si>
  <si>
    <t>S016</t>
  </si>
  <si>
    <t>Kalamaki Koyu</t>
  </si>
  <si>
    <t>photos/S016.jpg</t>
  </si>
  <si>
    <t>S017</t>
  </si>
  <si>
    <t>Didim Marina</t>
  </si>
  <si>
    <t>photos/S017.jpg</t>
  </si>
  <si>
    <t>S018</t>
  </si>
  <si>
    <t>Altınkum</t>
  </si>
  <si>
    <t>photos/S018.jpg</t>
  </si>
  <si>
    <t>S019</t>
  </si>
  <si>
    <t>Saplı Ada</t>
  </si>
  <si>
    <t>photos/S019.jpg</t>
  </si>
  <si>
    <t>S020</t>
  </si>
  <si>
    <t>Akbük Koyu</t>
  </si>
  <si>
    <t>photos/S020.jpg</t>
  </si>
  <si>
    <t>S021</t>
  </si>
  <si>
    <t>Kazıklı Koyu</t>
  </si>
  <si>
    <t>photos/S021.jpg</t>
  </si>
  <si>
    <t>S022</t>
  </si>
  <si>
    <t>İassos</t>
  </si>
  <si>
    <t>photos/S022.jpg</t>
  </si>
  <si>
    <t>S023</t>
  </si>
  <si>
    <t>Güllük</t>
  </si>
  <si>
    <t>photos/S023.jpg</t>
  </si>
  <si>
    <t>S024</t>
  </si>
  <si>
    <t>Asin Limanı</t>
  </si>
  <si>
    <t>Quai</t>
  </si>
  <si>
    <t>photos/S024.jpg</t>
  </si>
  <si>
    <t>S025</t>
  </si>
  <si>
    <t>Bodrum Marina</t>
  </si>
  <si>
    <t>Turquie – Bodrum</t>
  </si>
  <si>
    <t>Vase / sable</t>
  </si>
  <si>
    <t>photos/S025.jpg</t>
  </si>
  <si>
    <t>S026</t>
  </si>
  <si>
    <t>Bodrum Port</t>
  </si>
  <si>
    <t>photos/S026.jpg</t>
  </si>
  <si>
    <t>S027</t>
  </si>
  <si>
    <t>Bitez Koyu</t>
  </si>
  <si>
    <t>photos/S027.jpg</t>
  </si>
  <si>
    <t>S028</t>
  </si>
  <si>
    <t>Ortakent</t>
  </si>
  <si>
    <t>photos/S028.jpg</t>
  </si>
  <si>
    <t>S029</t>
  </si>
  <si>
    <t>Aspat Koyu</t>
  </si>
  <si>
    <t>photos/S029.jpg</t>
  </si>
  <si>
    <t>S030</t>
  </si>
  <si>
    <t>Akyarlar</t>
  </si>
  <si>
    <t>photos/S030.jpg</t>
  </si>
  <si>
    <t>S031</t>
  </si>
  <si>
    <t>Karaincir</t>
  </si>
  <si>
    <t>photos/S031.jpg</t>
  </si>
  <si>
    <t>S032</t>
  </si>
  <si>
    <t>Turgutreis Marina</t>
  </si>
  <si>
    <t>photos/S032.jpg</t>
  </si>
  <si>
    <t>S033</t>
  </si>
  <si>
    <t>Gümüşlük</t>
  </si>
  <si>
    <t>photos/S033.jpg</t>
  </si>
  <si>
    <t>S034</t>
  </si>
  <si>
    <t>Yalıkavak Marina</t>
  </si>
  <si>
    <t>photos/S034.jpg</t>
  </si>
  <si>
    <t>S035</t>
  </si>
  <si>
    <t>Türkbükü</t>
  </si>
  <si>
    <t>photos/S035.jpg</t>
  </si>
  <si>
    <t>S036</t>
  </si>
  <si>
    <t>Torba</t>
  </si>
  <si>
    <t>photos/S036.jpg</t>
  </si>
  <si>
    <t>S037</t>
  </si>
  <si>
    <t>Turquie – Gökova</t>
  </si>
  <si>
    <t>photos/S037.jpg</t>
  </si>
  <si>
    <t>S038</t>
  </si>
  <si>
    <t>Pabuç Burnu</t>
  </si>
  <si>
    <t>photos/S038.jpg</t>
  </si>
  <si>
    <t>S039</t>
  </si>
  <si>
    <t>Kisebükü</t>
  </si>
  <si>
    <t>photos/S039.jpg</t>
  </si>
  <si>
    <t>S040</t>
  </si>
  <si>
    <t>Çökertme</t>
  </si>
  <si>
    <t>photos/S040.jpg</t>
  </si>
  <si>
    <t>S041</t>
  </si>
  <si>
    <t>Akbük</t>
  </si>
  <si>
    <t>photos/S041.jpg</t>
  </si>
  <si>
    <t>S042</t>
  </si>
  <si>
    <t>Ören</t>
  </si>
  <si>
    <t>photos/S042.jpg</t>
  </si>
  <si>
    <t>S043</t>
  </si>
  <si>
    <t>İngiliz Limanı</t>
  </si>
  <si>
    <t>photos/S043.jpg</t>
  </si>
  <si>
    <t>S044</t>
  </si>
  <si>
    <t>Yedi Adalar</t>
  </si>
  <si>
    <t>photos/S044.jpg</t>
  </si>
  <si>
    <t>S045</t>
  </si>
  <si>
    <t>Küfre Koyu</t>
  </si>
  <si>
    <t>photos/S045.jpg</t>
  </si>
  <si>
    <t>S046</t>
  </si>
  <si>
    <t>Longöz</t>
  </si>
  <si>
    <t>photos/S046.jpg</t>
  </si>
  <si>
    <t>S047</t>
  </si>
  <si>
    <t>Karaca Söğüt</t>
  </si>
  <si>
    <t>photos/S047.jpg</t>
  </si>
  <si>
    <t>S048</t>
  </si>
  <si>
    <t>Sedir Adası</t>
  </si>
  <si>
    <t>photos/S048.jpg</t>
  </si>
  <si>
    <t>S049</t>
  </si>
  <si>
    <t>Datça Limanı</t>
  </si>
  <si>
    <t>Turquie – Hisarönü</t>
  </si>
  <si>
    <t>photos/S049.jpg</t>
  </si>
  <si>
    <t>S058</t>
  </si>
  <si>
    <t>Bozburun</t>
  </si>
  <si>
    <t>photos/S058.jpg</t>
  </si>
  <si>
    <t>S061</t>
  </si>
  <si>
    <t>Marmaris Yacht Marina</t>
  </si>
  <si>
    <t>Turquie – Marmaris</t>
  </si>
  <si>
    <t>photos/S061.jpg</t>
  </si>
  <si>
    <t>S062</t>
  </si>
  <si>
    <t>Marmaris Netsel Marina</t>
  </si>
  <si>
    <t>photos/S062.jpg</t>
  </si>
  <si>
    <t>S063</t>
  </si>
  <si>
    <t>İçmeler</t>
  </si>
  <si>
    <t>photos/S063.jpg</t>
  </si>
  <si>
    <t>S064</t>
  </si>
  <si>
    <t>Turunç</t>
  </si>
  <si>
    <t>photos/S064.jpg</t>
  </si>
  <si>
    <t>S065</t>
  </si>
  <si>
    <t>Kumlubük</t>
  </si>
  <si>
    <t>photos/S065.jpg</t>
  </si>
  <si>
    <t>S066</t>
  </si>
  <si>
    <t>photos/S066.jpg</t>
  </si>
  <si>
    <t>S067</t>
  </si>
  <si>
    <t>Serçe Limanı</t>
  </si>
  <si>
    <t>photos/S067.jpg</t>
  </si>
  <si>
    <t>S068</t>
  </si>
  <si>
    <t>Bozukkale</t>
  </si>
  <si>
    <t>photos/S068.jpg</t>
  </si>
  <si>
    <t>S069</t>
  </si>
  <si>
    <t>Ekincik</t>
  </si>
  <si>
    <t>photos/S069.jpg</t>
  </si>
  <si>
    <t>S070</t>
  </si>
  <si>
    <t>Kadırga Koyu</t>
  </si>
  <si>
    <t>photos/S070.jpg</t>
  </si>
  <si>
    <t>S071</t>
  </si>
  <si>
    <t>Amos</t>
  </si>
  <si>
    <t>photos/S071.jpg</t>
  </si>
  <si>
    <t>S072</t>
  </si>
  <si>
    <t>Gebekse</t>
  </si>
  <si>
    <t>photos/S072.jpg</t>
  </si>
  <si>
    <t>S073</t>
  </si>
  <si>
    <t>Göcek Marina</t>
  </si>
  <si>
    <t>Turquie – Göcek / Fethiye</t>
  </si>
  <si>
    <t>13</t>
  </si>
  <si>
    <t>photos/S073.jpg</t>
  </si>
  <si>
    <t>S074</t>
  </si>
  <si>
    <t>D-Marin Göcek</t>
  </si>
  <si>
    <t>photos/S074.jpg</t>
  </si>
  <si>
    <t>S075</t>
  </si>
  <si>
    <t>Skopea Marina</t>
  </si>
  <si>
    <t>photos/S075.jpg</t>
  </si>
  <si>
    <t>S076</t>
  </si>
  <si>
    <t>Boynuzbükü</t>
  </si>
  <si>
    <t>photos/S076.jpg</t>
  </si>
  <si>
    <t>S077</t>
  </si>
  <si>
    <t>Yassıca Adaları</t>
  </si>
  <si>
    <t>photos/S077.jpg</t>
  </si>
  <si>
    <t>S078</t>
  </si>
  <si>
    <t>Tersane Adası</t>
  </si>
  <si>
    <t>photos/S078.jpg</t>
  </si>
  <si>
    <t>S079</t>
  </si>
  <si>
    <t>Domuz Adası</t>
  </si>
  <si>
    <t>photos/S079.jpg</t>
  </si>
  <si>
    <t>S080</t>
  </si>
  <si>
    <t>Sarsala Koyu</t>
  </si>
  <si>
    <t>photos/S080.jpg</t>
  </si>
  <si>
    <t>S081</t>
  </si>
  <si>
    <t>Killebükü</t>
  </si>
  <si>
    <t>photos/S081.jpg</t>
  </si>
  <si>
    <t>S082</t>
  </si>
  <si>
    <t>Gemiler Adası</t>
  </si>
  <si>
    <t>photos/S082.jpg</t>
  </si>
  <si>
    <t>S083</t>
  </si>
  <si>
    <t>Fethiye Marina</t>
  </si>
  <si>
    <t>photos/S083.jpg</t>
  </si>
  <si>
    <t>S084</t>
  </si>
  <si>
    <t>Ölüdeniz</t>
  </si>
  <si>
    <t>photos/S084.jpg</t>
  </si>
  <si>
    <t>S085</t>
  </si>
  <si>
    <t>Kalkan</t>
  </si>
  <si>
    <t>Turquie – Kaş / Kekova</t>
  </si>
  <si>
    <t>photos/S085.jpg</t>
  </si>
  <si>
    <t>S086</t>
  </si>
  <si>
    <t>Yeşilköy Limanı</t>
  </si>
  <si>
    <t>Recommandées</t>
  </si>
  <si>
    <t>Petit port local de Yeşilköy. Services nautiques non confirmés; conserver une approche prudente et vérifier eau, électricité et accueil avant arrivée.</t>
  </si>
  <si>
    <t>photos/S086.jpg</t>
  </si>
  <si>
    <t>À confirmer</t>
  </si>
  <si>
    <t>S087</t>
  </si>
  <si>
    <t>Kaş Marina</t>
  </si>
  <si>
    <t>Indispensables</t>
  </si>
  <si>
    <t>Marina moderne et complète à proximité de Kaş. Carburant, eau, électricité, sanitaires, laverie, Wi-Fi, collecte des déchets et services techniques.</t>
  </si>
  <si>
    <t>photos/S087.jpg</t>
  </si>
  <si>
    <t>Confirmé</t>
  </si>
  <si>
    <t>https://www.kasmarina.com.tr/Marina/Detail?type=ingo | https://www.seturmarinas.com/en/marinas/makmarin-kas</t>
  </si>
  <si>
    <t>S088</t>
  </si>
  <si>
    <t>Limanağzı</t>
  </si>
  <si>
    <t>Conseillées</t>
  </si>
  <si>
    <t>Baie proche de Kaş avec établissements saisonniers à terre. Pas de services de marina permanents identifiés.</t>
  </si>
  <si>
    <t>photos/S088.jpg</t>
  </si>
  <si>
    <t>S089</t>
  </si>
  <si>
    <t>Aperlai</t>
  </si>
  <si>
    <t>Mouillage près du site antique d’Aperlai, avec restauration saisonnière. Services limités; autonomie recommandée.</t>
  </si>
  <si>
    <t>photos/S089.jpg</t>
  </si>
  <si>
    <t>S090</t>
  </si>
  <si>
    <t>Üçağız</t>
  </si>
  <si>
    <t>Village d’Üçağız très protégé, avec commerces et restaurants. Services nautiques variables selon les quais et établissements.</t>
  </si>
  <si>
    <t>photos/S090.jpg</t>
  </si>
  <si>
    <t>S091</t>
  </si>
  <si>
    <t>Kaleköy</t>
  </si>
  <si>
    <t>Escale pittoresque de Kaleköy, avec restaurants et petits commerces. Mouillage fréquenté en saison; services techniques absents.</t>
  </si>
  <si>
    <t>photos/S091.jpg</t>
  </si>
  <si>
    <t>S092</t>
  </si>
  <si>
    <t>Kekova Roads</t>
  </si>
  <si>
    <t>Zone de mouillage de Kekova sans services permanents. Prudence à proximité des zones archéologiques et des passages touristiques.</t>
  </si>
  <si>
    <t>photos/S092.jpg</t>
  </si>
  <si>
    <t>S093</t>
  </si>
  <si>
    <t>Gökkaya Limanı</t>
  </si>
  <si>
    <t>Baie très abritée avec établissements saisonniers. Quai et services variables; confirmer eau et électricité sur place.</t>
  </si>
  <si>
    <t>photos/S093.jpg</t>
  </si>
  <si>
    <t>S094</t>
  </si>
  <si>
    <t>Polemos Bükü</t>
  </si>
  <si>
    <t>Mouillage naturel isolé, sans services permanents identifiés. Autonomie complète recommandée.</t>
  </si>
  <si>
    <t>photos/S094.jpg</t>
  </si>
  <si>
    <t>S095</t>
  </si>
  <si>
    <t>Finike Marina</t>
  </si>
  <si>
    <t>Marina Setur bien équipée pour l’avitaillement et l’entretien : carburant, eau, électricité, sanitaires, laverie, Wi-Fi et services techniques.</t>
  </si>
  <si>
    <t>photos/S095.jpg</t>
  </si>
  <si>
    <t>https://www.seturmarinas.com/en/marinas/finike | https://www.coastguidetr.com/en/marina/11022501942/finike-setur-marina</t>
  </si>
  <si>
    <t>S096</t>
  </si>
  <si>
    <t>Andriake</t>
  </si>
  <si>
    <t>Escale proche du site d’Andriake et de Demre. Restauration possible à terre; services nautiques à confirmer.</t>
  </si>
  <si>
    <t>photos/S096.jpg</t>
  </si>
  <si>
    <t>S109</t>
  </si>
  <si>
    <t>Mandraki</t>
  </si>
  <si>
    <t>Rhodes</t>
  </si>
  <si>
    <t>Grèce</t>
  </si>
  <si>
    <t>09</t>
  </si>
  <si>
    <t>Port historique au cœur de Rhodes. VHF 09, eau, électricité et Wi-Fi annoncés; carburant généralement livré au quai. Forte activité saisonnière.</t>
  </si>
  <si>
    <t>photos/S109.jpg</t>
  </si>
  <si>
    <t>https://www.rhodes.gr/tourist-guide/marina-mandraki/ | https://www.rodosmarina.com/contact.html</t>
  </si>
  <si>
    <t>S110</t>
  </si>
  <si>
    <t>Rhodes Commercial Harbour</t>
  </si>
  <si>
    <t>Port commercial de Rhodes soumis aux instructions de l’autorité portuaire. Services pour yachts non garantis; utiliser uniquement après confirmation locale.</t>
  </si>
  <si>
    <t>photos/S110.jpg</t>
  </si>
  <si>
    <t>S111</t>
  </si>
  <si>
    <t>Kallithea</t>
  </si>
  <si>
    <t>Mouillage touristique de Kallithea, avec restauration à terre. Pas de services nautiques permanents confirmés.</t>
  </si>
  <si>
    <t>photos/S111.jpg</t>
  </si>
  <si>
    <t>S112</t>
  </si>
  <si>
    <t>Faliraki</t>
  </si>
  <si>
    <t>Roche / sable</t>
  </si>
  <si>
    <t>Grande baie très urbanisée avec commerces et restauration. Mouillage exposé à l’activité nautique saisonnière.</t>
  </si>
  <si>
    <t>photos/S112.jpg</t>
  </si>
  <si>
    <t>S113</t>
  </si>
  <si>
    <t>Ladiko</t>
  </si>
  <si>
    <t>Petite baie fréquentée avec taverne ou snack saisonnier. Aucun service de marina permanent.</t>
  </si>
  <si>
    <t>photos/S113.jpg</t>
  </si>
  <si>
    <t>S114</t>
  </si>
  <si>
    <t>Anthony Quinn Bay</t>
  </si>
  <si>
    <t>Baie touristique très fréquentée en journée. Restauration saisonnière à terre; pas de services nautiques permanents.</t>
  </si>
  <si>
    <t>photos/S114.jpg</t>
  </si>
  <si>
    <t>S115</t>
  </si>
  <si>
    <t>Lindos</t>
  </si>
  <si>
    <t>Escale remarquable sous Lindos, avec commerces et restaurants au village. Mouillage très fréquenté et exposé selon les conditions.</t>
  </si>
  <si>
    <t>photos/S115.jpg</t>
  </si>
  <si>
    <t>S116</t>
  </si>
  <si>
    <t>St Paul’s Bay</t>
  </si>
  <si>
    <t>Petite baie spectaculaire près de Lindos. Espace limité et fréquentation élevée; restauration à terre, sans services nautiques.</t>
  </si>
  <si>
    <t>photos/S116.jpg</t>
  </si>
  <si>
    <t>S117</t>
  </si>
  <si>
    <t>Haraki</t>
  </si>
  <si>
    <t>Baie villageoise avec commerces et restaurants. Aucun service de marina permanent confirmé.</t>
  </si>
  <si>
    <t>photos/S117.jpg</t>
  </si>
  <si>
    <t>S118</t>
  </si>
  <si>
    <t>Agathi</t>
  </si>
  <si>
    <t>Plage et baie saisonnières avec restauration à terre. Pas de services nautiques permanents identifiés.</t>
  </si>
  <si>
    <t>photos/S118.jpg</t>
  </si>
  <si>
    <t>S119</t>
  </si>
  <si>
    <t>Prasonisi</t>
  </si>
  <si>
    <t>Zone très exposée et réputée pour les sports de glisse. Escale à envisager uniquement par conditions favorables; restauration saisonnière.</t>
  </si>
  <si>
    <t>photos/S119.jpg</t>
  </si>
  <si>
    <t>S120</t>
  </si>
  <si>
    <t>Kamiros Skala</t>
  </si>
  <si>
    <t>Petit port de la côte ouest de Rhodes. Commerces et restaurants au village; eau, électricité et VHF à confirmer avant arrivée.</t>
  </si>
  <si>
    <t>photos/S120.jpg</t>
  </si>
  <si>
    <t>S121</t>
  </si>
  <si>
    <t>Yialos</t>
  </si>
  <si>
    <t>Symi</t>
  </si>
  <si>
    <t>12</t>
  </si>
  <si>
    <t>Port principal de Symi, très animé en saison. Appel VHF 12 avant l’entrée. Eau, électricité et carburant disponibles, parfois de façon limitée ou par livraison.</t>
  </si>
  <si>
    <t>photos/S121.jpg</t>
  </si>
  <si>
    <t>https://www.symi.gr/economy/tourism/maritime-tourism/?lang=en | https://www.navily.com/port/symi-public-port/1550</t>
  </si>
  <si>
    <t>S122</t>
  </si>
  <si>
    <t>Pedi</t>
  </si>
  <si>
    <t>Baie plus calme que Yialos. La marina de Pedi annonce eau, électricité et Wi-Fi. Carburant et services techniques non confirmés sur place.</t>
  </si>
  <si>
    <t>photos/S122.jpg</t>
  </si>
  <si>
    <t>https://www.marina-symi.gr/marina-services</t>
  </si>
  <si>
    <t>S123</t>
  </si>
  <si>
    <t>Nanou</t>
  </si>
  <si>
    <t>Baie spectaculaire de Nanou, avec taverne ou snack saisonnier. Aucun service nautique permanent; autonomie recommandée.</t>
  </si>
  <si>
    <t>photos/S123.jpg</t>
  </si>
  <si>
    <t>S124</t>
  </si>
  <si>
    <t>Marathounda</t>
  </si>
  <si>
    <t>Marathounda offre une escale calme avec restauration saisonnière. Pas de services de marina permanents identifiés.</t>
  </si>
  <si>
    <t>photos/S124.jpg</t>
  </si>
  <si>
    <t>S125</t>
  </si>
  <si>
    <t>Panormitis</t>
  </si>
  <si>
    <t>Port du monastère de Panormitis, calme hors passages des ferries. Eau et électricité signalées; carburant et services complémentaires à confirmer avant arrivée.</t>
  </si>
  <si>
    <t>photos/S125.jpg</t>
  </si>
  <si>
    <t>https://ports.marinelink.com/ports/port/panormitis | https://www.symi.gr/economy/tourism/maritime-tourism/?lang=en</t>
  </si>
  <si>
    <t>S126</t>
  </si>
  <si>
    <t>Toli Bay</t>
  </si>
  <si>
    <t>Toli Bay est une escale isolée. Restauration et services saisonniers à confirmer; autonomie recommandée.</t>
  </si>
  <si>
    <t>photos/S126.jpg</t>
  </si>
  <si>
    <t>S127</t>
  </si>
  <si>
    <t>Emborios</t>
  </si>
  <si>
    <t>Emborios est une petite escale villageoise avec restauration. Services limités; vérifier l’approvisionnement avant arrivée.</t>
  </si>
  <si>
    <t>photos/S127.jpg</t>
  </si>
  <si>
    <t>S128</t>
  </si>
  <si>
    <t>Agios Georgios Dysalonas</t>
  </si>
  <si>
    <t>Baie spectaculaire mais ouverte et profonde. Aucun service permanent; mouillage uniquement par conditions favorables.</t>
  </si>
  <si>
    <t>photos/S128.jpg</t>
  </si>
  <si>
    <t>S129</t>
  </si>
  <si>
    <t>Sesklia</t>
  </si>
  <si>
    <t>Mouillage naturel de Sesklia, sans services permanents. Bonne autonomie nécessaire.</t>
  </si>
  <si>
    <t>photos/S129.jpg</t>
  </si>
  <si>
    <t>S130</t>
  </si>
  <si>
    <t>Nimos</t>
  </si>
  <si>
    <t>Mouillage de Nimos isolé et sans services. Vérifier les restrictions locales éventuelles avant d’y passer la nuit.</t>
  </si>
  <si>
    <t>photos/S130.jpg</t>
  </si>
  <si>
    <t>S131</t>
  </si>
  <si>
    <t>Faneromeni</t>
  </si>
  <si>
    <t>Mouillage naturel sans services permanents identifiés. Approche prudente et autonomie complète.</t>
  </si>
  <si>
    <t>photos/S131.jpg</t>
  </si>
  <si>
    <t>S132</t>
  </si>
  <si>
    <t>Nimborio</t>
  </si>
  <si>
    <t>Nimborio est proche de Yialos, avec quelques tavernes et accès à terre. Services nautiques limités.</t>
  </si>
  <si>
    <t>photos/S132.jpg</t>
  </si>
  <si>
    <t>S133</t>
  </si>
  <si>
    <t>Livadia</t>
  </si>
  <si>
    <t>Tilos / Chalki</t>
  </si>
  <si>
    <t>Port principal de Tilos. Eau et électricité disponibles au quai; commerces et tavernes proches. Pas de station carburant permanente au port.</t>
  </si>
  <si>
    <t>photos/S133.jpg</t>
  </si>
  <si>
    <t>https://www.litando.gr/tilos-island/ | https://www.yachtdigest.com/en/ports-greece/piscopi/</t>
  </si>
  <si>
    <t>S134</t>
  </si>
  <si>
    <t>Eristos</t>
  </si>
  <si>
    <t>Grande baie sableuse d’Eristos avec restauration saisonnière à proximité. Aucun service nautique permanent.</t>
  </si>
  <si>
    <t>photos/S134.jpg</t>
  </si>
  <si>
    <t>S135</t>
  </si>
  <si>
    <t>Agios Antonios</t>
  </si>
  <si>
    <t>Petit port ou mouillage d’Agios Antonios, avec taverne saisonnière. Services nautiques à confirmer.</t>
  </si>
  <si>
    <t>photos/S135.jpg</t>
  </si>
  <si>
    <t>S136</t>
  </si>
  <si>
    <t>Tholos</t>
  </si>
  <si>
    <t>Mouillage naturel de Tholos sans services permanents identifiés.</t>
  </si>
  <si>
    <t>photos/S136.jpg</t>
  </si>
  <si>
    <t>S137</t>
  </si>
  <si>
    <t>Lethra</t>
  </si>
  <si>
    <t>Baie de Lethra, agréable par temps établi. Pas de services permanents identifiés.</t>
  </si>
  <si>
    <t>photos/S137.jpg</t>
  </si>
  <si>
    <t>S138</t>
  </si>
  <si>
    <t>Skala Chalki</t>
  </si>
  <si>
    <t>Port pittoresque de Chalki, très recherché en saison. VHF 12, eau, électricité, douches et Wi-Fi signalés; carburant à confirmer.</t>
  </si>
  <si>
    <t>photos/S138.jpg</t>
  </si>
  <si>
    <t>https://www.navily.com/port/chalki/1964</t>
  </si>
  <si>
    <t>S139</t>
  </si>
  <si>
    <t>Pondamos</t>
  </si>
  <si>
    <t>Pondamos est une baie touristique proche de Nimborio, avec restauration en saison. Aucun service nautique permanent.</t>
  </si>
  <si>
    <t>photos/S139.jpg</t>
  </si>
  <si>
    <t>S140</t>
  </si>
  <si>
    <t>Alimia</t>
  </si>
  <si>
    <t>Alimia est une escale sauvage et historique, sans services permanents. Autonomie complète indispensable.</t>
  </si>
  <si>
    <t>photos/S140.jpg</t>
  </si>
  <si>
    <t>S141</t>
  </si>
  <si>
    <t>Trachia</t>
  </si>
  <si>
    <t>Mouillage isolé de Trachia, sans services permanents. Réservé aux conditions favorables.</t>
  </si>
  <si>
    <t>photos/S141.jpg</t>
  </si>
  <si>
    <t>S142</t>
  </si>
  <si>
    <t>Chalki South Bay</t>
  </si>
  <si>
    <t>Baie sud de Chalki sans services permanents identifiés. Autonomie recommandée.</t>
  </si>
  <si>
    <t>photos/S142.jpg</t>
  </si>
  <si>
    <t>S143</t>
  </si>
  <si>
    <t>Kania</t>
  </si>
  <si>
    <t>Kania est une plage saisonnière avec restauration possible. Aucun service nautique permanent.</t>
  </si>
  <si>
    <t>photos/S143.jpg</t>
  </si>
  <si>
    <t>S144</t>
  </si>
  <si>
    <t>Nimporio Chalki</t>
  </si>
  <si>
    <t>Nimporio concentre les commerces et restaurants de Chalki. Pour les services nautiques, privilégier le port principal.</t>
  </si>
  <si>
    <t>photos/S144.jpg</t>
  </si>
  <si>
    <t>S145</t>
  </si>
  <si>
    <t>Pali</t>
  </si>
  <si>
    <t>Nisyros / Kos</t>
  </si>
  <si>
    <t>Pali est l’escale plaisance principale de Nisyros. Eau, électricité, douches, Wi-Fi et carburant sont signalés; prudence à l’entrée peu profonde.</t>
  </si>
  <si>
    <t>photos/S145.jpg</t>
  </si>
  <si>
    <t>https://nisyrosmarina.com/ | https://www.navily.com/port/palon-marina/1549 | https://yachtango.com/english/greece/dodecanese/nisyros</t>
  </si>
  <si>
    <t>S146</t>
  </si>
  <si>
    <t>Mandraki Nisyros</t>
  </si>
  <si>
    <t>68</t>
  </si>
  <si>
    <t>Port de Mandraki utilisé par ferries et bateaux d’excursion. VHF 68, eau, électricité, douches, Wi-Fi et carburant signalés; disponibilité à confirmer en saison.</t>
  </si>
  <si>
    <t>photos/S146.jpg</t>
  </si>
  <si>
    <t>https://nisyrosmarina.com/ | https://www.navily.com/port/nisyros-mandraki-port/31319</t>
  </si>
  <si>
    <t>S147</t>
  </si>
  <si>
    <t>Lies Beach</t>
  </si>
  <si>
    <t>Lies Beach est une escale ouverte avec restauration saisonnière à terre. Pas de services nautiques permanents.</t>
  </si>
  <si>
    <t>photos/S147.jpg</t>
  </si>
  <si>
    <t>S148</t>
  </si>
  <si>
    <t>Gyali</t>
  </si>
  <si>
    <t>Gyali : mouillage naturel. Services limités ou absents ; autonomie recommandée.</t>
  </si>
  <si>
    <t>photos/S148.jpg</t>
  </si>
  <si>
    <t>S149</t>
  </si>
  <si>
    <t>Kardamena</t>
  </si>
  <si>
    <t>Kardamena : mouillage naturel. Services limités ou absents ; autonomie recommandée.</t>
  </si>
  <si>
    <t>photos/S149.jpg</t>
  </si>
  <si>
    <t>S150</t>
  </si>
  <si>
    <t>Kos Marina</t>
  </si>
  <si>
    <t>77</t>
  </si>
  <si>
    <t>Kos Marina : escale à privilégier pour l'avitaillement local. Vérifier VHF et disponibilité des services avant l'arrivée.</t>
  </si>
  <si>
    <t>photos/S150.jpg</t>
  </si>
  <si>
    <t>S151</t>
  </si>
  <si>
    <t>Kos Old Harbour</t>
  </si>
  <si>
    <t>Kos Old Harbour : escale à privilégier pour l'avitaillement local. Vérifier VHF et disponibilité des services avant l'arrivée.</t>
  </si>
  <si>
    <t>photos/S151.jpg</t>
  </si>
  <si>
    <t>S152</t>
  </si>
  <si>
    <t>Mastichari</t>
  </si>
  <si>
    <t>Mastichari : mouillage naturel. Services limités ou absents ; autonomie recommandée.</t>
  </si>
  <si>
    <t>photos/S152.jpg</t>
  </si>
  <si>
    <t>S153</t>
  </si>
  <si>
    <t>Kamari</t>
  </si>
  <si>
    <t>Kamari : mouillage naturel. Services limités ou absents ; autonomie recommandée.</t>
  </si>
  <si>
    <t>photos/S153.jpg</t>
  </si>
  <si>
    <t>S154</t>
  </si>
  <si>
    <t>Kefalos</t>
  </si>
  <si>
    <t>Kefalos : mouillage naturel. Services limités ou absents ; autonomie recommandée.</t>
  </si>
  <si>
    <t>photos/S154.jpg</t>
  </si>
  <si>
    <t>S155</t>
  </si>
  <si>
    <t>Limnionas</t>
  </si>
  <si>
    <t>Limnionas : mouillage naturel. Services limités ou absents ; autonomie recommandée.</t>
  </si>
  <si>
    <t>photos/S155.jpg</t>
  </si>
  <si>
    <t>S156</t>
  </si>
  <si>
    <t>Agios Stefanos</t>
  </si>
  <si>
    <t>Agios Stefanos : mouillage naturel. Services limités ou absents ; autonomie recommandée.</t>
  </si>
  <si>
    <t>photos/S156.jpg</t>
  </si>
  <si>
    <t>S157</t>
  </si>
  <si>
    <t>Pothia</t>
  </si>
  <si>
    <t>Kalymnos / Telendos</t>
  </si>
  <si>
    <t>Pothia : escale à privilégier pour l'avitaillement local. Vérifier VHF et disponibilité des services avant l'arrivée.</t>
  </si>
  <si>
    <t>photos/S157.jpg</t>
  </si>
  <si>
    <t>S158</t>
  </si>
  <si>
    <t>Vathy Kalymnos</t>
  </si>
  <si>
    <t>Vathy Kalymnos : mouillage naturel. Services limités ou absents ; autonomie recommandée.</t>
  </si>
  <si>
    <t>photos/S158.jpg</t>
  </si>
  <si>
    <t>S159</t>
  </si>
  <si>
    <t>Emborios : mouillage naturel. Services limités ou absents ; autonomie recommandée.</t>
  </si>
  <si>
    <t>photos/S159.jpg</t>
  </si>
  <si>
    <t>S160</t>
  </si>
  <si>
    <t>Palionisos</t>
  </si>
  <si>
    <t>Palionisos : mouillage naturel. Services limités ou absents ; autonomie recommandée.</t>
  </si>
  <si>
    <t>photos/S160.jpg</t>
  </si>
  <si>
    <t>S161</t>
  </si>
  <si>
    <t>Arginonta</t>
  </si>
  <si>
    <t>Arginonta : mouillage naturel. Services limités ou absents ; autonomie recommandée.</t>
  </si>
  <si>
    <t>photos/S161.jpg</t>
  </si>
  <si>
    <t>S162</t>
  </si>
  <si>
    <t>Melitsahas</t>
  </si>
  <si>
    <t>Melitsahas : mouillage naturel. Services limités ou absents ; autonomie recommandée.</t>
  </si>
  <si>
    <t>photos/S162.jpg</t>
  </si>
  <si>
    <t>S163</t>
  </si>
  <si>
    <t>Myrties</t>
  </si>
  <si>
    <t>Myrties : mouillage naturel. Services limités ou absents ; autonomie recommandée.</t>
  </si>
  <si>
    <t>photos/S163.jpg</t>
  </si>
  <si>
    <t>S164</t>
  </si>
  <si>
    <t>Telendos</t>
  </si>
  <si>
    <t>Telendos : mouillage naturel. Services limités ou absents ; autonomie recommandée.</t>
  </si>
  <si>
    <t>photos/S164.jpg</t>
  </si>
  <si>
    <t>S165</t>
  </si>
  <si>
    <t>Hohlakas</t>
  </si>
  <si>
    <t>Hohlakas : mouillage naturel. Services limités ou absents ; autonomie recommandée.</t>
  </si>
  <si>
    <t>photos/S165.jpg</t>
  </si>
  <si>
    <t>S166</t>
  </si>
  <si>
    <t>Pezoonda</t>
  </si>
  <si>
    <t>Pezoonda : mouillage naturel. Services limités ou absents ; autonomie recommandée.</t>
  </si>
  <si>
    <t>photos/S166.jpg</t>
  </si>
  <si>
    <t>S167</t>
  </si>
  <si>
    <t>Vlychadia</t>
  </si>
  <si>
    <t>Vlychadia : mouillage naturel. Services limités ou absents ; autonomie recommandée.</t>
  </si>
  <si>
    <t>photos/S167.jpg</t>
  </si>
  <si>
    <t>S168</t>
  </si>
  <si>
    <t>Gefyra</t>
  </si>
  <si>
    <t>Gefyra : mouillage naturel. Services limités ou absents ; autonomie recommandée.</t>
  </si>
  <si>
    <t>photos/S168.jpg</t>
  </si>
  <si>
    <t>S169</t>
  </si>
  <si>
    <t>Lakki Marina</t>
  </si>
  <si>
    <t>Leros</t>
  </si>
  <si>
    <t>Lakki Marina : escale à privilégier pour l'avitaillement local. Vérifier VHF et disponibilité des services avant l'arrivée.</t>
  </si>
  <si>
    <t>photos/S169.jpg</t>
  </si>
  <si>
    <t>S170</t>
  </si>
  <si>
    <t>Lakki Port</t>
  </si>
  <si>
    <t>Lakki Port : escale à privilégier pour l'avitaillement local. Vérifier VHF et disponibilité des services avant l'arrivée.</t>
  </si>
  <si>
    <t>photos/S170.jpg</t>
  </si>
  <si>
    <t>S171</t>
  </si>
  <si>
    <t>Panteli</t>
  </si>
  <si>
    <t>Panteli : mouillage naturel. Services limités ou absents ; autonomie recommandée.</t>
  </si>
  <si>
    <t>photos/S171.jpg</t>
  </si>
  <si>
    <t>S172</t>
  </si>
  <si>
    <t>Vromolithos</t>
  </si>
  <si>
    <t>Vromolithos : mouillage naturel. Services limités ou absents ; autonomie recommandée.</t>
  </si>
  <si>
    <t>photos/S172.jpg</t>
  </si>
  <si>
    <t>S173</t>
  </si>
  <si>
    <t>Alinda</t>
  </si>
  <si>
    <t>Alinda : mouillage naturel. Services absents ou saisonniers ; autonomie recommandée.</t>
  </si>
  <si>
    <t>photos/S173.jpg</t>
  </si>
  <si>
    <t>S174</t>
  </si>
  <si>
    <t>Agia Marina</t>
  </si>
  <si>
    <t>Agia Marina : escale portuaire. Vérifier VHF, disponibilité des places et des services avant l'arrivée.</t>
  </si>
  <si>
    <t>photos/S174.jpg</t>
  </si>
  <si>
    <t>S175</t>
  </si>
  <si>
    <t>Partheni</t>
  </si>
  <si>
    <t>Partheni : mouillage naturel. Services absents ou saisonniers ; autonomie recommandée.</t>
  </si>
  <si>
    <t>photos/S175.jpg</t>
  </si>
  <si>
    <t>S176</t>
  </si>
  <si>
    <t>Blefouti</t>
  </si>
  <si>
    <t>Blefouti : mouillage naturel. Services absents ou saisonniers ; autonomie recommandée.</t>
  </si>
  <si>
    <t>photos/S176.jpg</t>
  </si>
  <si>
    <t>S177</t>
  </si>
  <si>
    <t>Xerokambos</t>
  </si>
  <si>
    <t>Xerokambos : mouillage naturel. Services absents ou saisonniers ; autonomie recommandée.</t>
  </si>
  <si>
    <t>photos/S177.jpg</t>
  </si>
  <si>
    <t>S178</t>
  </si>
  <si>
    <t>Gourna</t>
  </si>
  <si>
    <t>Gourna : mouillage naturel. Services absents ou saisonniers ; autonomie recommandée.</t>
  </si>
  <si>
    <t>photos/S178.jpg</t>
  </si>
  <si>
    <t>S179</t>
  </si>
  <si>
    <t>Drymonas</t>
  </si>
  <si>
    <t>Drymonas : mouillage naturel. Services absents ou saisonniers ; autonomie recommandée.</t>
  </si>
  <si>
    <t>photos/S179.jpg</t>
  </si>
  <si>
    <t>S180</t>
  </si>
  <si>
    <t>Archangelos</t>
  </si>
  <si>
    <t>Archangelos : mouillage naturel. Services absents ou saisonniers ; autonomie recommandée.</t>
  </si>
  <si>
    <t>photos/S180.jpg</t>
  </si>
  <si>
    <t>S181</t>
  </si>
  <si>
    <t>Skala Patmos</t>
  </si>
  <si>
    <t>Patmos / Lipsi</t>
  </si>
  <si>
    <t>Skala Patmos : escale portuaire. Vérifier VHF, disponibilité des places et des services avant l'arrivée.</t>
  </si>
  <si>
    <t>photos/S181.jpg</t>
  </si>
  <si>
    <t>S182</t>
  </si>
  <si>
    <t>Grikos</t>
  </si>
  <si>
    <t>Grikos : mouillage naturel. Services absents ou saisonniers ; autonomie recommandée.</t>
  </si>
  <si>
    <t>photos/S182.jpg</t>
  </si>
  <si>
    <t>S183</t>
  </si>
  <si>
    <t>Petra</t>
  </si>
  <si>
    <t>Petra : mouillage naturel. Services absents ou saisonniers ; autonomie recommandée.</t>
  </si>
  <si>
    <t>photos/S183.jpg</t>
  </si>
  <si>
    <t>S184</t>
  </si>
  <si>
    <t>Kambos</t>
  </si>
  <si>
    <t>Kambos : mouillage naturel. Services absents ou saisonniers ; autonomie recommandée.</t>
  </si>
  <si>
    <t>photos/S184.jpg</t>
  </si>
  <si>
    <t>S185</t>
  </si>
  <si>
    <t>Livadi Geranou</t>
  </si>
  <si>
    <t>Livadi Geranou : escale portuaire. Vérifier VHF, disponibilité des places et des services avant l'arrivée.</t>
  </si>
  <si>
    <t>photos/S185.jpg</t>
  </si>
  <si>
    <t>S186</t>
  </si>
  <si>
    <t>Lampi</t>
  </si>
  <si>
    <t>Lampi : mouillage naturel. Services absents ou saisonniers ; autonomie recommandée.</t>
  </si>
  <si>
    <t>photos/S186.jpg</t>
  </si>
  <si>
    <t>S187</t>
  </si>
  <si>
    <t>Lipsi Port</t>
  </si>
  <si>
    <t>Lipsi Port : escale portuaire. Vérifier VHF, disponibilité des places et des services avant l'arrivée.</t>
  </si>
  <si>
    <t>photos/S187.jpg</t>
  </si>
  <si>
    <t>S188</t>
  </si>
  <si>
    <t>Katsadia</t>
  </si>
  <si>
    <t>Katsadia : mouillage naturel. Services absents ou saisonniers ; autonomie recommandée.</t>
  </si>
  <si>
    <t>photos/S188.jpg</t>
  </si>
  <si>
    <t>S189</t>
  </si>
  <si>
    <t>Platis Gialos</t>
  </si>
  <si>
    <t>Platis Gialos : mouillage naturel. Services absents ou saisonniers ; autonomie recommandée.</t>
  </si>
  <si>
    <t>photos/S189.jpg</t>
  </si>
  <si>
    <t>S190</t>
  </si>
  <si>
    <t>Moschato</t>
  </si>
  <si>
    <t>Moschato : mouillage naturel. Services absents ou saisonniers ; autonomie recommandée.</t>
  </si>
  <si>
    <t>photos/S190.jpg</t>
  </si>
  <si>
    <t>S191</t>
  </si>
  <si>
    <t>Makronisi</t>
  </si>
  <si>
    <t>Makronisi : mouillage naturel. Services absents ou saisonniers ; autonomie recommandée.</t>
  </si>
  <si>
    <t>photos/S191.jpg</t>
  </si>
  <si>
    <t>S192</t>
  </si>
  <si>
    <t>Aspronisia</t>
  </si>
  <si>
    <t>Aspronisia : mouillage naturel. Services absents ou saisonniers ; autonomie recommandée.</t>
  </si>
  <si>
    <t>photos/S192.jpg</t>
  </si>
  <si>
    <t>S193</t>
  </si>
  <si>
    <t>Arki Port</t>
  </si>
  <si>
    <t>Arki / Agathonisi</t>
  </si>
  <si>
    <t>Arki Port : escale portuaire. Vérifier VHF, disponibilité des places et des services avant l'arrivée.</t>
  </si>
  <si>
    <t>photos/S193.jpg</t>
  </si>
  <si>
    <t>S194</t>
  </si>
  <si>
    <t>Tiganakia</t>
  </si>
  <si>
    <t>Tiganakia : mouillage naturel. Services absents ou saisonniers ; autonomie recommandée.</t>
  </si>
  <si>
    <t>photos/S194.jpg</t>
  </si>
  <si>
    <t>S195</t>
  </si>
  <si>
    <t>Marathi</t>
  </si>
  <si>
    <t>Marathi : mouillage naturel. Services absents ou saisonniers ; autonomie recommandée.</t>
  </si>
  <si>
    <t>photos/S195.jpg</t>
  </si>
  <si>
    <t>S196</t>
  </si>
  <si>
    <t>Port Augusta</t>
  </si>
  <si>
    <t>Port Augusta : escale portuaire. Vérifier VHF, disponibilité des places et des services avant l'arrivée.</t>
  </si>
  <si>
    <t>photos/S196.jpg</t>
  </si>
  <si>
    <t>S197</t>
  </si>
  <si>
    <t>Stretto</t>
  </si>
  <si>
    <t>Stretto : mouillage naturel. Services absents ou saisonniers ; autonomie recommandée.</t>
  </si>
  <si>
    <t>photos/S197.jpg</t>
  </si>
  <si>
    <t>S198</t>
  </si>
  <si>
    <t>Agathonisi Port</t>
  </si>
  <si>
    <t>Agathonisi Port : escale portuaire. Vérifier les services et contacter le port avant l'arrivée si nécessaire.</t>
  </si>
  <si>
    <t>photos/S198.jpg</t>
  </si>
  <si>
    <t>S199</t>
  </si>
  <si>
    <t>Gaidouravlakos</t>
  </si>
  <si>
    <t>Gaidouravlakos : mouillage naturel. Prévoir une autonomie complète et vérifier les conditions locales.</t>
  </si>
  <si>
    <t>photos/S199.jpg</t>
  </si>
  <si>
    <t>S200</t>
  </si>
  <si>
    <t>Tsangari</t>
  </si>
  <si>
    <t>Tsangari : mouillage naturel. Prévoir une autonomie complète et vérifier les conditions locales.</t>
  </si>
  <si>
    <t>photos/S200.jpg</t>
  </si>
  <si>
    <t>S201</t>
  </si>
  <si>
    <t>Katholiko</t>
  </si>
  <si>
    <t>Katholiko : mouillage naturel. Prévoir une autonomie complète et vérifier les conditions locales.</t>
  </si>
  <si>
    <t>photos/S201.jpg</t>
  </si>
  <si>
    <t>S202</t>
  </si>
  <si>
    <t>Nero Bay</t>
  </si>
  <si>
    <t>Nero Bay : mouillage naturel. Prévoir une autonomie complète et vérifier les conditions locales.</t>
  </si>
  <si>
    <t>photos/S202.jpg</t>
  </si>
  <si>
    <t>S203</t>
  </si>
  <si>
    <t>Makronisi Arki</t>
  </si>
  <si>
    <t>Makronisi Arki : mouillage naturel. Prévoir une autonomie complète et vérifier les conditions locales.</t>
  </si>
  <si>
    <t>photos/S203.jpg</t>
  </si>
  <si>
    <t>S204</t>
  </si>
  <si>
    <t>Leros Channel Anchorage</t>
  </si>
  <si>
    <t>Leros Channel Anchorage : mouillage naturel. Prévoir une autonomie complète et vérifier les conditions locales.</t>
  </si>
  <si>
    <t>photos/S204.jpg</t>
  </si>
  <si>
    <t>S217</t>
  </si>
  <si>
    <t>Agios Kirykos</t>
  </si>
  <si>
    <t>Ikaria / Fourni</t>
  </si>
  <si>
    <t>Agios Kirykos : mouillage naturel. Prévoir une autonomie complète et vérifier les conditions locales.</t>
  </si>
  <si>
    <t>photos/S217.jpg</t>
  </si>
  <si>
    <t>Champ</t>
  </si>
  <si>
    <t>Valeurs / règle</t>
  </si>
  <si>
    <t>Services</t>
  </si>
  <si>
    <t>Oui / Non / À vérifier / À documenter / —</t>
  </si>
  <si>
    <t>Confirmé / À confirmer / Préparation</t>
  </si>
  <si>
    <t>photos/&lt;ID&gt;.jpg</t>
  </si>
  <si>
    <t>Canal connu / À vérifier / —</t>
  </si>
  <si>
    <t>Non nécessaires / Conseillées / Recommandées / Indispensables / À confirmer</t>
  </si>
  <si>
    <t>Marina / Port / Quai / Baie / Mouillage</t>
  </si>
  <si>
    <t>Côte turque • Dodécanèse</t>
  </si>
  <si>
    <t>Principe qualité</t>
  </si>
  <si>
    <t>Une donnée inconnue vaut mieux qu’une donnée fausse</t>
  </si>
  <si>
    <t>Fichier maître</t>
  </si>
  <si>
    <t>THETIS_Database_MASTER.xlsx</t>
  </si>
  <si>
    <t>Version</t>
  </si>
  <si>
    <t>Date</t>
  </si>
  <si>
    <t>Action</t>
  </si>
  <si>
    <t>Commentaire</t>
  </si>
  <si>
    <t>MASTER-1</t>
  </si>
  <si>
    <t>2026-07-15</t>
  </si>
  <si>
    <t>Reconstruction</t>
  </si>
  <si>
    <t>Reconstruction du fichier maître à partir de THETIS_Database.xlsx ; 183 fiches conservées et structure THETIS 2.0 ajoutée.</t>
  </si>
  <si>
    <t>MASTER-C4</t>
  </si>
  <si>
    <t>Campagne 4 – fiches 76 à 100</t>
  </si>
  <si>
    <t>Kaş/Kekova, Rhodes et début Symi. Sources officielles privilégiées pour Kaş, Finike, Mandraki, Yialos et Pedi; réserves explicites ailleurs.</t>
  </si>
  <si>
    <t>MASTER-C5</t>
  </si>
  <si>
    <t>Campagne 5 – fiches 101 à 125</t>
  </si>
  <si>
    <t>Fin Symi, Tilos/Chalki et début Nisyros. Données vérifiées pour Panormitis, Livadia, Chalki, Pali et Mandraki Nisyros; réserves explicites ailleurs.</t>
  </si>
  <si>
    <t>MASTER-C6</t>
  </si>
  <si>
    <t>Campagne 6</t>
  </si>
  <si>
    <t>Harmonisation des fiches 126 à 150 et préparation des enrichissements futurs.</t>
  </si>
  <si>
    <t>MASTER-C7</t>
  </si>
  <si>
    <t>Campagne 7</t>
  </si>
  <si>
    <t>Harmonisation des fiches suivantes avant la campagne finale.</t>
  </si>
  <si>
    <t>MASTER-FINAL</t>
  </si>
  <si>
    <t>Campagne finale</t>
  </si>
  <si>
    <t>Complément des dernières fiches et préparation de la relecture générale.</t>
  </si>
  <si>
    <t>THETIS – Référentiel nautique v1.0</t>
  </si>
  <si>
    <t>Principe</t>
  </si>
  <si>
    <t>Description</t>
  </si>
  <si>
    <t>Objectif</t>
  </si>
  <si>
    <t>Constituer une base de connaissances nautiques sur l’Égée orientale, capable d’alimenter la PWA, les guides PDF et les futurs supports.</t>
  </si>
  <si>
    <t>Compatibilité PWA</t>
  </si>
  <si>
    <t>L’onglet Base_THETIS_MASTER et ses colonnes A:AY sont conservés sans renommage, déplacement ni suppression.</t>
  </si>
  <si>
    <t>Clé de liaison</t>
  </si>
  <si>
    <t>Le champ ID (S001, S002…) relie tous les onglets spécialisés à la fiche principale.</t>
  </si>
  <si>
    <t>Source de vérité</t>
  </si>
  <si>
    <t>Base_THETIS_MASTER reste la source de lecture de la PWA actuelle.</t>
  </si>
  <si>
    <t>Évolutions</t>
  </si>
  <si>
    <t>Les nouvelles données sont saisies dans les onglets spécialisés et pourront être intégrées progressivement à la PWA.</t>
  </si>
  <si>
    <t>Version du modèle</t>
  </si>
  <si>
    <t>1.0</t>
  </si>
  <si>
    <t>Date de création</t>
  </si>
  <si>
    <t>Nom du fichier</t>
  </si>
  <si>
    <t>THETIS_Database_MASTER_Referentiel_v1_0.xlsx</t>
  </si>
  <si>
    <t>Règle majeure</t>
  </si>
  <si>
    <t>Toute modification d’un en-tête de Base_THETIS_MASTER nécessite une mise à jour coordonnée du code PWA et une version majeure.</t>
  </si>
  <si>
    <t>Compatibilité PWA v2.4.3</t>
  </si>
  <si>
    <t>VALIDÉE SOUS CONDITION DE PUBLICATION</t>
  </si>
  <si>
    <t>Condition 1</t>
  </si>
  <si>
    <t>Conserver strictement l’onglet Base_THETIS_MASTER et les colonnes A:AY.</t>
  </si>
  <si>
    <t>Condition 2</t>
  </si>
  <si>
    <t>Publier une copie sous le nom THETIS_Database_MASTER.xlsx.</t>
  </si>
  <si>
    <t>Condition 3</t>
  </si>
  <si>
    <t>Ne pas modifier app.js, sw.js ou version.json lors d’une simple actualisation du contenu.</t>
  </si>
  <si>
    <t>Approches</t>
  </si>
  <si>
    <t>ID_Approche</t>
  </si>
  <si>
    <t>ID_Site</t>
  </si>
  <si>
    <t>Type_approche</t>
  </si>
  <si>
    <t>Direction_arrivée</t>
  </si>
  <si>
    <t>Repères_visuels</t>
  </si>
  <si>
    <t>Dangers</t>
  </si>
  <si>
    <t>Profondeur_entrée_m</t>
  </si>
  <si>
    <t>Difficulté</t>
  </si>
  <si>
    <t>Navigation_nuit</t>
  </si>
  <si>
    <t>Vent_traversier</t>
  </si>
  <si>
    <t>Source</t>
  </si>
  <si>
    <t>Date_vérification</t>
  </si>
  <si>
    <t>Niveau_confiance</t>
  </si>
  <si>
    <t>Amarrages</t>
  </si>
  <si>
    <t>ID_Amarrage</t>
  </si>
  <si>
    <t>Type_amarrage</t>
  </si>
  <si>
    <t>Nom_option</t>
  </si>
  <si>
    <t>Profondeur_min_m</t>
  </si>
  <si>
    <t>Profondeur_max_m</t>
  </si>
  <si>
    <t>Tenue</t>
  </si>
  <si>
    <t>Aussières_terre</t>
  </si>
  <si>
    <t>Pendilles</t>
  </si>
  <si>
    <t>Bouées</t>
  </si>
  <si>
    <t>Rayon_évitage_m</t>
  </si>
  <si>
    <t>Capacité</t>
  </si>
  <si>
    <t>Tarif_indicatif</t>
  </si>
  <si>
    <t>Conditions_limites</t>
  </si>
  <si>
    <t>Commentaire_THETIS</t>
  </si>
  <si>
    <t>ID_Service</t>
  </si>
  <si>
    <t>Catégorie</t>
  </si>
  <si>
    <t>Service</t>
  </si>
  <si>
    <t>Disponibilité</t>
  </si>
  <si>
    <t>Saisonnalité</t>
  </si>
  <si>
    <t>Distance_m</t>
  </si>
  <si>
    <t>Canal_VHF</t>
  </si>
  <si>
    <t>Horaires</t>
  </si>
  <si>
    <t>Détails</t>
  </si>
  <si>
    <t>A Terre</t>
  </si>
  <si>
    <t>ID_Point</t>
  </si>
  <si>
    <t>Recommandation_THETIS</t>
  </si>
  <si>
    <t>Site_web</t>
  </si>
  <si>
    <t>Itineraires</t>
  </si>
  <si>
    <t>ID_Itinéraire</t>
  </si>
  <si>
    <t>ID_Départ</t>
  </si>
  <si>
    <t>ID_Arrivée</t>
  </si>
  <si>
    <t>Nom_étape</t>
  </si>
  <si>
    <t>Distance_NM</t>
  </si>
  <si>
    <t>Cap_vrai_indicatif</t>
  </si>
  <si>
    <t>Temps_5nds</t>
  </si>
  <si>
    <t>Temps_6nds</t>
  </si>
  <si>
    <t>Temps_7nds</t>
  </si>
  <si>
    <t>Exposition_Meltem</t>
  </si>
  <si>
    <t>Repli_principal</t>
  </si>
  <si>
    <t>Variante</t>
  </si>
  <si>
    <t>Commentaire_route</t>
  </si>
  <si>
    <t>Medias</t>
  </si>
  <si>
    <t>ID_Média</t>
  </si>
  <si>
    <t>Type_média</t>
  </si>
  <si>
    <t>Fichier_URL</t>
  </si>
  <si>
    <t>Légende</t>
  </si>
  <si>
    <t>Auteur</t>
  </si>
  <si>
    <t>Droits</t>
  </si>
  <si>
    <t>Date_prise</t>
  </si>
  <si>
    <t>Ordre_affichage</t>
  </si>
  <si>
    <t>Publier_PWA</t>
  </si>
  <si>
    <t>Publier_PDF</t>
  </si>
  <si>
    <t>Sources Verifications</t>
  </si>
  <si>
    <t>ID_Source</t>
  </si>
  <si>
    <t>Domaine</t>
  </si>
  <si>
    <t>Champ_concerné</t>
  </si>
  <si>
    <t>Type_source</t>
  </si>
  <si>
    <t>Référence_URL</t>
  </si>
  <si>
    <t>Date_consultation</t>
  </si>
  <si>
    <t>Date_prochaine_revue</t>
  </si>
  <si>
    <t>Fiabilité</t>
  </si>
  <si>
    <t>Validé_par</t>
  </si>
  <si>
    <t>Listes contrôlées – Référentiel THETIS</t>
  </si>
  <si>
    <t>Publier</t>
  </si>
  <si>
    <t>Brouillon</t>
  </si>
  <si>
    <t>Très facile</t>
  </si>
  <si>
    <t>Mouillage sur ancre</t>
  </si>
  <si>
    <t>Facile</t>
  </si>
  <si>
    <t>Possible avec prudence</t>
  </si>
  <si>
    <t>Carte</t>
  </si>
  <si>
    <t>Vérifié</t>
  </si>
  <si>
    <t>Modérée</t>
  </si>
  <si>
    <t>Déconseillée</t>
  </si>
  <si>
    <t>Limitée</t>
  </si>
  <si>
    <t>Plan</t>
  </si>
  <si>
    <t>Validé</t>
  </si>
  <si>
    <t>Moyenne à élevée</t>
  </si>
  <si>
    <t>Délicate</t>
  </si>
  <si>
    <t>Sur demande</t>
  </si>
  <si>
    <t>Bouée</t>
  </si>
  <si>
    <t>Panorama</t>
  </si>
  <si>
    <t>Archivé</t>
  </si>
  <si>
    <t>Élevée</t>
  </si>
  <si>
    <t>Très délicate</t>
  </si>
  <si>
    <t>Saisonnière</t>
  </si>
  <si>
    <t>Ponton</t>
  </si>
  <si>
    <t>Vidéo</t>
  </si>
  <si>
    <t>Confirmée</t>
  </si>
  <si>
    <t>Ancre et aussières à terre</t>
  </si>
  <si>
    <t>Document</t>
  </si>
  <si>
    <t>Dictionnaire Donnees</t>
  </si>
  <si>
    <t>Onglet</t>
  </si>
  <si>
    <t>Champ_technique</t>
  </si>
  <si>
    <t>Libellé</t>
  </si>
  <si>
    <t>Unité_format</t>
  </si>
  <si>
    <t>Obligatoire</t>
  </si>
  <si>
    <t>Valeurs_autorisées</t>
  </si>
  <si>
    <t>Utilisé_PWA_actuelle</t>
  </si>
  <si>
    <t>Utilisé_Guide_PDF</t>
  </si>
  <si>
    <t>Fréquence_revue</t>
  </si>
  <si>
    <t>Source_attendue</t>
  </si>
  <si>
    <t>Version_introduction</t>
  </si>
  <si>
    <t>Site</t>
  </si>
  <si>
    <t>Base_THETIS_MASTER</t>
  </si>
  <si>
    <t>Texte / valeur</t>
  </si>
  <si>
    <t>Selon champ</t>
  </si>
  <si>
    <t>Voir Référentiels</t>
  </si>
  <si>
    <t>Champ historique conservé sans modification pour la compatibilité PWA.</t>
  </si>
  <si>
    <t>Selon criticité</t>
  </si>
  <si>
    <t>Source existante</t>
  </si>
  <si>
    <t>Héritage</t>
  </si>
  <si>
    <t>Approche</t>
  </si>
  <si>
    <t>Identifiant approche</t>
  </si>
  <si>
    <t>Texte</t>
  </si>
  <si>
    <t>Identifiant unique de l’enregistrement d’approche.</t>
  </si>
  <si>
    <t>Jamais</t>
  </si>
  <si>
    <t>Interne</t>
  </si>
  <si>
    <t>Identifiant site</t>
  </si>
  <si>
    <t>S001…</t>
  </si>
  <si>
    <t>Clé de liaison vers Base_THETIS_MASTER.ID.</t>
  </si>
  <si>
    <t>Base THETIS</t>
  </si>
  <si>
    <t>Amarrage</t>
  </si>
  <si>
    <t>Identifiant amarrage</t>
  </si>
  <si>
    <t>Identifiant unique d’une option d’amarrage.</t>
  </si>
  <si>
    <t>Identifiant service</t>
  </si>
  <si>
    <t>Identifiant unique d’un service.</t>
  </si>
  <si>
    <t>Itinéraire</t>
  </si>
  <si>
    <t>Distance</t>
  </si>
  <si>
    <t>Nombre</t>
  </si>
  <si>
    <t>NM</t>
  </si>
  <si>
    <t>&gt;=0</t>
  </si>
  <si>
    <t>Distance indicative entre le site de départ et le site d’arrivée.</t>
  </si>
  <si>
    <t>À chaque revue</t>
  </si>
  <si>
    <t>Cartographie à jour</t>
  </si>
  <si>
    <t>Média</t>
  </si>
  <si>
    <t>Publication PWA</t>
  </si>
  <si>
    <t>Liste</t>
  </si>
  <si>
    <t>Oui / Non</t>
  </si>
  <si>
    <t>Indique si le média pourra être exploité par une future version de la PWA.</t>
  </si>
  <si>
    <t>À chaque modification</t>
  </si>
  <si>
    <t>THETIS – Contrôle de compatibilité avec la PWA v2.4.3</t>
  </si>
  <si>
    <t>Contrôle</t>
  </si>
  <si>
    <t>Valeur attendue</t>
  </si>
  <si>
    <t>Valeur constatée</t>
  </si>
  <si>
    <t>Résultat</t>
  </si>
  <si>
    <t>Criticité</t>
  </si>
  <si>
    <t>Nom de l’onglet principal</t>
  </si>
  <si>
    <t>CONFORME</t>
  </si>
  <si>
    <t>Bloquante</t>
  </si>
  <si>
    <t>La PWA peut continuer à cibler le même onglet.</t>
  </si>
  <si>
    <t>Nombre de colonnes historiques</t>
  </si>
  <si>
    <t>51 colonnes (A:AY)</t>
  </si>
  <si>
    <t>51 colonnes</t>
  </si>
  <si>
    <t>Aucune colonne historique ne doit être supprimée, déplacée ou renommée.</t>
  </si>
  <si>
    <t>Nombre de fiches</t>
  </si>
  <si>
    <t>183 fiches</t>
  </si>
  <si>
    <t>Majeure</t>
  </si>
  <si>
    <t>Le nombre peut évoluer, mais toute variation doit être volontaire.</t>
  </si>
  <si>
    <t>En-têtes indispensables</t>
  </si>
  <si>
    <t>Tous présents</t>
  </si>
  <si>
    <t>Colonnes utilisées par les écrans et services de la PWA.</t>
  </si>
  <si>
    <t>Unicité des identifiants</t>
  </si>
  <si>
    <t>Aucun doublon</t>
  </si>
  <si>
    <t>L’identifiant Sxxx est la clé de liaison entre les onglets.</t>
  </si>
  <si>
    <t>Nom du fichier publié</t>
  </si>
  <si>
    <t>Référentiel de travail</t>
  </si>
  <si>
    <t>ACTION REQUISE</t>
  </si>
  <si>
    <t>Avant publication, créer une copie portant exactement le nom attendu par la PWA.</t>
  </si>
  <si>
    <t>Nouveaux onglets</t>
  </si>
  <si>
    <t>Autorisés</t>
  </si>
  <si>
    <t>Présents</t>
  </si>
  <si>
    <t>Ils sont ignorés par la PWA v2.4.3 tant que celle-ci lit uniquement Base_THETIS_MASTER.</t>
  </si>
  <si>
    <t>THETIS – Procédure de publication vers la PWA v2.4.3</t>
  </si>
  <si>
    <t>Étape</t>
  </si>
  <si>
    <t>Règle de sécurité</t>
  </si>
  <si>
    <t>Travailler uniquement dans THETIS_Database_MASTER_Referentiel.xlsx.</t>
  </si>
  <si>
    <t>Ne pas renommer ni déplacer les colonnes A:AY de Base_THETIS_MASTER.</t>
  </si>
  <si>
    <t>Enregistrer et fermer le référentiel.</t>
  </si>
  <si>
    <t>Vérifier l’onglet Controle_Compatibilite_PWA avant toute publication.</t>
  </si>
  <si>
    <t>Créer une copie du classeur.</t>
  </si>
  <si>
    <t>Conserver le référentiel original comme source de vérité.</t>
  </si>
  <si>
    <t>Renommer la copie THETIS_Database_MASTER.xlsx.</t>
  </si>
  <si>
    <t>Ce nom exact est attendu par la PWA v2.4.3.</t>
  </si>
  <si>
    <t>Déposer la copie dans le dossier PWA/database/.</t>
  </si>
  <si>
    <t>Remplacer uniquement l’ancien fichier Excel, pas les fichiers app.js, sw.js ou version.json.</t>
  </si>
  <si>
    <t>Publier sur GitHub puis laisser Netlify redéployer.</t>
  </si>
  <si>
    <t>Conserver l’historique GitHub pour permettre un retour arrière.</t>
  </si>
  <si>
    <t>Tester la PWA sur ordinateur puis sur téléphone.</t>
  </si>
  <si>
    <t>Contrôler la liste, la carte, une fiche détaillée, le téléphone, les services et le Commentaire THETIS.</t>
  </si>
  <si>
    <t>Fichier</t>
  </si>
  <si>
    <t>Rôle</t>
  </si>
  <si>
    <t>Doit être modifié ?</t>
  </si>
  <si>
    <t>THETIS_Database_MASTER_Referentiel.xlsx</t>
  </si>
  <si>
    <t>Source de travail complète</t>
  </si>
  <si>
    <t>PWA/database/THETIS_Database_MASTER.xlsx</t>
  </si>
  <si>
    <t>Copie publiée et lue par la PWA</t>
  </si>
  <si>
    <t>Non, sauf par remplacement</t>
  </si>
  <si>
    <t>app.js / sw.js / version.json</t>
  </si>
  <si>
    <t>Code et cache de la PWA v2.4.3</t>
  </si>
  <si>
    <t>Non pour une simple mise à jour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</si>
</sst>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16324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B2D48"/>
      </patternFill>
    </fill>
    <fill>
      <patternFill patternType="solid">
        <fgColor rgb="FFEDE9FE"/>
      </patternFill>
    </fill>
    <fill>
      <patternFill patternType="solid">
        <fgColor rgb="FFE0F2FE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16324F"/>
      </patternFill>
    </fill>
    <fill>
      <patternFill patternType="solid">
        <fgColor rgb="FFD9E7E8"/>
      </patternFill>
    </fill>
    <fill>
      <patternFill patternType="solid">
        <fgColor rgb="FF16324F"/>
      </patternFill>
    </fill>
    <fill>
      <patternFill patternType="solid">
        <fgColor rgb="FFD9E7E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7">
    <xf numFmtId="0" fontId="0" fillId="0" borderId="0" xfId="0" applyBorder="1"/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0" fillId="0" borderId="0" xfId="0" applyNumberFormat="1" applyBorder="1"/>
    <xf numFmtId="165" fontId="0" fillId="0" borderId="0" xfId="0" applyNumberFormat="1" applyBorder="1"/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5" borderId="0" xfId="0" applyFill="1" applyBorder="1"/>
    <xf numFmtId="0" fontId="3" fillId="7" borderId="0" xfId="0" applyFont="1" applyFill="1" applyBorder="1" applyAlignment="1">
      <alignment horizontal="center" vertical="center" wrapText="1"/>
    </xf>
    <xf numFmtId="166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0" fontId="3" fillId="9" borderId="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vertical="center"/>
    </xf>
    <xf numFmtId="0" fontId="2" fillId="8" borderId="0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6B7280"/>
      </font>
      <fill>
        <patternFill>
          <bgColor rgb="FFF3F4F6"/>
        </patternFill>
      </fill>
    </dxf>
    <dxf>
      <font>
        <color rgb="FF9A4D00"/>
      </font>
      <fill>
        <patternFill>
          <bgColor rgb="FFFCE8D5"/>
        </patternFill>
      </fill>
    </dxf>
    <dxf>
      <font>
        <color rgb="FF8A5A00"/>
      </font>
      <fill>
        <patternFill>
          <bgColor rgb="FFFFF2CC"/>
        </patternFill>
      </fill>
    </dxf>
    <dxf>
      <font>
        <color rgb="FF1F6B3B"/>
      </font>
      <fill>
        <patternFill>
          <bgColor rgb="FFDCEED8"/>
        </patternFill>
      </fill>
    </dxf>
    <dxf>
      <font>
        <color rgb="FF6B7280"/>
      </font>
      <fill>
        <patternFill>
          <bgColor rgb="FFF3F4F6"/>
        </patternFill>
      </fill>
    </dxf>
    <dxf>
      <font>
        <color rgb="FF9A4D00"/>
      </font>
      <fill>
        <patternFill>
          <bgColor rgb="FFFCE8D5"/>
        </patternFill>
      </fill>
    </dxf>
    <dxf>
      <font>
        <color rgb="FF8A5A00"/>
      </font>
      <fill>
        <patternFill>
          <bgColor rgb="FFFFF2CC"/>
        </patternFill>
      </fill>
    </dxf>
    <dxf>
      <font>
        <color rgb="FF1F6B3B"/>
      </font>
      <fill>
        <patternFill>
          <bgColor rgb="FFDCE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ETISMasterTable" displayName="THETISMasterTable" ref="A1:AY184">
  <tableColumns count="51">
    <tableColumn id="1" xr3:uid="{00000000-0010-0000-0000-000001000000}" name="ID"/>
    <tableColumn id="2" xr3:uid="{00000000-0010-0000-0000-000002000000}" name="Nom"/>
    <tableColumn id="3" xr3:uid="{00000000-0010-0000-0000-000003000000}" name="Zone"/>
    <tableColumn id="4" xr3:uid="{00000000-0010-0000-0000-000004000000}" name="Pays"/>
    <tableColumn id="5" xr3:uid="{00000000-0010-0000-0000-000005000000}" name="Type"/>
    <tableColumn id="6" xr3:uid="{00000000-0010-0000-0000-000006000000}" name="Latitude"/>
    <tableColumn id="7" xr3:uid="{00000000-0010-0000-0000-000007000000}" name="Longitude"/>
    <tableColumn id="8" xr3:uid="{00000000-0010-0000-0000-000008000000}" name="Note /5"/>
    <tableColumn id="9" xr3:uid="{00000000-0010-0000-0000-000009000000}" name="Prot. N"/>
    <tableColumn id="10" xr3:uid="{00000000-0010-0000-0000-00000A000000}" name="Prot. NE"/>
    <tableColumn id="11" xr3:uid="{00000000-0010-0000-0000-00000B000000}" name="Prot. E"/>
    <tableColumn id="12" xr3:uid="{00000000-0010-0000-0000-00000C000000}" name="Prot. SE"/>
    <tableColumn id="13" xr3:uid="{00000000-0010-0000-0000-00000D000000}" name="Prot. S"/>
    <tableColumn id="14" xr3:uid="{00000000-0010-0000-0000-00000E000000}" name="Prot. SO"/>
    <tableColumn id="15" xr3:uid="{00000000-0010-0000-0000-00000F000000}" name="Prot. O"/>
    <tableColumn id="16" xr3:uid="{00000000-0010-0000-0000-000010000000}" name="Prot. NO"/>
    <tableColumn id="17" xr3:uid="{00000000-0010-0000-0000-000011000000}" name="Prof. min"/>
    <tableColumn id="18" xr3:uid="{00000000-0010-0000-0000-000012000000}" name="Prof. max"/>
    <tableColumn id="19" xr3:uid="{00000000-0010-0000-0000-000013000000}" name="Fond"/>
    <tableColumn id="20" xr3:uid="{00000000-0010-0000-0000-000014000000}" name="Tenue estimée"/>
    <tableColumn id="21" xr3:uid="{00000000-0010-0000-0000-000015000000}" name="Aussières"/>
    <tableColumn id="22" xr3:uid="{00000000-0010-0000-0000-000016000000}" name="Canal VHF"/>
    <tableColumn id="51" xr3:uid="{00000000-0010-0000-0000-000033000000}" name="Téléphone"/>
    <tableColumn id="23" xr3:uid="{00000000-0010-0000-0000-000017000000}" name="Carburant"/>
    <tableColumn id="24" xr3:uid="{00000000-0010-0000-0000-000018000000}" name="Eau"/>
    <tableColumn id="25" xr3:uid="{00000000-0010-0000-0000-000019000000}" name="Électricité"/>
    <tableColumn id="26" xr3:uid="{00000000-0010-0000-0000-00001A000000}" name="Douches"/>
    <tableColumn id="27" xr3:uid="{00000000-0010-0000-0000-00001B000000}" name="Laverie"/>
    <tableColumn id="28" xr3:uid="{00000000-0010-0000-0000-00001C000000}" name="Wi-Fi"/>
    <tableColumn id="29" xr3:uid="{00000000-0010-0000-0000-00001D000000}" name="Déchets"/>
    <tableColumn id="30" xr3:uid="{00000000-0010-0000-0000-00001E000000}" name="Chantier / réparations"/>
    <tableColumn id="31" xr3:uid="{00000000-0010-0000-0000-00001F000000}" name="Supermarché"/>
    <tableColumn id="32" xr3:uid="{00000000-0010-0000-0000-000020000000}" name="Restaurant / Snack"/>
    <tableColumn id="33" xr3:uid="{00000000-0010-0000-0000-000021000000}" name="Notes THETIS"/>
    <tableColumn id="34" xr3:uid="{00000000-0010-0000-0000-000022000000}" name="Photo"/>
    <tableColumn id="35" xr3:uid="{00000000-0010-0000-0000-000023000000}" name="Niveau de confiance"/>
    <tableColumn id="36" xr3:uid="{00000000-0010-0000-0000-000024000000}" name="Services (historique)"/>
    <tableColumn id="37" xr3:uid="{00000000-0010-0000-0000-000025000000}" name="Prix indicatif"/>
    <tableColumn id="38" xr3:uid="{00000000-0010-0000-0000-000026000000}" name="État donnée"/>
    <tableColumn id="39" xr3:uid="{00000000-0010-0000-0000-000027000000}" name="Statut"/>
    <tableColumn id="40" xr3:uid="{00000000-0010-0000-0000-000028000000}" name="Précision position"/>
    <tableColumn id="41" xr3:uid="{00000000-0010-0000-0000-000029000000}" name="Méthode / source"/>
    <tableColumn id="42" xr3:uid="{00000000-0010-0000-0000-00002A000000}" name="Date de vérification"/>
    <tableColumn id="43" xr3:uid="{00000000-0010-0000-0000-00002B000000}" name="Usage recommandé"/>
    <tableColumn id="44" xr3:uid="{00000000-0010-0000-0000-00002C000000}" name="Confiance protection"/>
    <tableColumn id="45" xr3:uid="{00000000-0010-0000-0000-00002D000000}" name="Méthode protection"/>
    <tableColumn id="46" xr3:uid="{00000000-0010-0000-0000-00002E000000}" name="Avertissement protection"/>
    <tableColumn id="47" xr3:uid="{00000000-0010-0000-0000-00002F000000}" name="Confiance fond/aussières"/>
    <tableColumn id="48" xr3:uid="{00000000-0010-0000-0000-000030000000}" name="Méthode fond/aussières"/>
    <tableColumn id="49" xr3:uid="{00000000-0010-0000-0000-000031000000}" name="Définition note /5"/>
    <tableColumn id="50" xr3:uid="{00000000-0010-0000-0000-000032000000}" name="Avertiss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4"/>
  <sheetViews>
    <sheetView tabSelected="1" workbookViewId="0"/>
  </sheetViews>
  <sheetFormatPr defaultRowHeight="14"/>
  <cols>
    <col min="1" max="1" width="10" customWidth="1"/>
    <col min="2" max="3" width="25" customWidth="1"/>
    <col min="4" max="4" width="12" customWidth="1"/>
    <col min="5" max="5" width="18" customWidth="1"/>
    <col min="6" max="7" width="12" customWidth="1"/>
    <col min="8" max="8" width="10" customWidth="1"/>
    <col min="9" max="18" width="11" customWidth="1"/>
    <col min="19" max="19" width="20" customWidth="1"/>
    <col min="20" max="20" width="18" customWidth="1"/>
    <col min="21" max="21" width="22" customWidth="1"/>
    <col min="22" max="24" width="14" customWidth="1"/>
    <col min="25" max="25" width="12" customWidth="1"/>
    <col min="26" max="26" width="14" customWidth="1"/>
    <col min="27" max="30" width="12" customWidth="1"/>
    <col min="31" max="31" width="18" customWidth="1"/>
    <col min="32" max="32" width="15" customWidth="1"/>
    <col min="33" max="33" width="20" customWidth="1"/>
    <col min="34" max="34" width="34" customWidth="1"/>
    <col min="35" max="35" width="24" customWidth="1"/>
    <col min="36" max="36" width="18" customWidth="1"/>
  </cols>
  <sheetData>
    <row r="1" spans="1:51" ht="22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ht="14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38.323999999999998</v>
      </c>
      <c r="G2" s="4">
        <v>26.302</v>
      </c>
      <c r="H2" s="5">
        <v>4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57</v>
      </c>
      <c r="P2" t="s">
        <v>56</v>
      </c>
      <c r="Q2" s="5"/>
      <c r="R2" s="5"/>
      <c r="S2" t="s">
        <v>58</v>
      </c>
      <c r="T2" t="s">
        <v>59</v>
      </c>
      <c r="U2" t="s">
        <v>60</v>
      </c>
      <c r="V2" t="s">
        <v>61</v>
      </c>
      <c r="W2" s="10"/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63</v>
      </c>
      <c r="AG2" t="s">
        <v>63</v>
      </c>
      <c r="AH2" s="3"/>
      <c r="AI2" s="3" t="s">
        <v>64</v>
      </c>
      <c r="AJ2" s="3" t="s">
        <v>65</v>
      </c>
      <c r="AK2" s="3" t="s">
        <v>62</v>
      </c>
      <c r="AL2" s="3" t="s">
        <v>62</v>
      </c>
      <c r="AM2" s="3" t="s">
        <v>66</v>
      </c>
      <c r="AN2" s="3" t="s">
        <v>67</v>
      </c>
      <c r="AO2" s="3" t="s">
        <v>68</v>
      </c>
      <c r="AP2" s="3" t="s">
        <v>69</v>
      </c>
      <c r="AQ2" s="3">
        <v>46213</v>
      </c>
      <c r="AR2" s="3" t="s">
        <v>70</v>
      </c>
      <c r="AS2" s="3" t="s">
        <v>71</v>
      </c>
      <c r="AT2" s="3" t="s">
        <v>72</v>
      </c>
      <c r="AU2" s="3" t="s">
        <v>73</v>
      </c>
      <c r="AV2" s="3" t="s">
        <v>71</v>
      </c>
      <c r="AW2" s="3" t="s">
        <v>74</v>
      </c>
      <c r="AX2" s="3" t="s">
        <v>75</v>
      </c>
      <c r="AY2" s="3" t="s">
        <v>76</v>
      </c>
    </row>
    <row r="3" spans="1:51" ht="140">
      <c r="A3" t="s">
        <v>77</v>
      </c>
      <c r="B3" t="s">
        <v>78</v>
      </c>
      <c r="C3" t="s">
        <v>53</v>
      </c>
      <c r="D3" t="s">
        <v>54</v>
      </c>
      <c r="E3" t="s">
        <v>79</v>
      </c>
      <c r="F3" s="4">
        <v>38.299999999999997</v>
      </c>
      <c r="G3" s="4">
        <v>26.362739999999999</v>
      </c>
      <c r="H3" s="5">
        <v>3.6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71</v>
      </c>
      <c r="O3" t="s">
        <v>71</v>
      </c>
      <c r="P3" t="s">
        <v>71</v>
      </c>
      <c r="Q3" s="5"/>
      <c r="R3" s="5"/>
      <c r="S3" t="s">
        <v>80</v>
      </c>
      <c r="T3" t="s">
        <v>81</v>
      </c>
      <c r="U3" t="s">
        <v>82</v>
      </c>
      <c r="V3" t="s">
        <v>83</v>
      </c>
      <c r="W3" s="10"/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63</v>
      </c>
      <c r="AG3" t="s">
        <v>63</v>
      </c>
      <c r="AH3" s="3"/>
      <c r="AI3" s="3" t="s">
        <v>84</v>
      </c>
      <c r="AJ3" s="3" t="s">
        <v>65</v>
      </c>
      <c r="AK3" s="3" t="s">
        <v>62</v>
      </c>
      <c r="AL3" s="3" t="s">
        <v>62</v>
      </c>
      <c r="AM3" s="3" t="s">
        <v>85</v>
      </c>
      <c r="AN3" s="3" t="s">
        <v>67</v>
      </c>
      <c r="AO3" s="3" t="s">
        <v>86</v>
      </c>
      <c r="AP3" s="3" t="s">
        <v>87</v>
      </c>
      <c r="AQ3" s="3">
        <v>46213</v>
      </c>
      <c r="AR3" s="3" t="s">
        <v>88</v>
      </c>
      <c r="AS3" s="3" t="s">
        <v>89</v>
      </c>
      <c r="AT3" s="3" t="s">
        <v>90</v>
      </c>
      <c r="AU3" s="3" t="s">
        <v>73</v>
      </c>
      <c r="AV3" s="3" t="s">
        <v>89</v>
      </c>
      <c r="AW3" s="3" t="s">
        <v>91</v>
      </c>
      <c r="AX3" s="3" t="s">
        <v>75</v>
      </c>
      <c r="AY3" s="3" t="s">
        <v>76</v>
      </c>
    </row>
    <row r="4" spans="1:51" ht="140">
      <c r="A4" t="s">
        <v>92</v>
      </c>
      <c r="B4" t="s">
        <v>93</v>
      </c>
      <c r="C4" t="s">
        <v>53</v>
      </c>
      <c r="D4" t="s">
        <v>54</v>
      </c>
      <c r="E4" t="s">
        <v>94</v>
      </c>
      <c r="F4" s="4">
        <v>38.306759999999997</v>
      </c>
      <c r="G4" s="4">
        <v>26.340610000000002</v>
      </c>
      <c r="H4" s="5">
        <v>4.2</v>
      </c>
      <c r="I4" t="s">
        <v>71</v>
      </c>
      <c r="J4" t="s">
        <v>57</v>
      </c>
      <c r="K4" t="s">
        <v>56</v>
      </c>
      <c r="L4" t="s">
        <v>57</v>
      </c>
      <c r="M4" t="s">
        <v>57</v>
      </c>
      <c r="N4" t="s">
        <v>71</v>
      </c>
      <c r="O4" t="s">
        <v>95</v>
      </c>
      <c r="P4" t="s">
        <v>71</v>
      </c>
      <c r="Q4" s="5"/>
      <c r="R4" s="5"/>
      <c r="S4" t="s">
        <v>96</v>
      </c>
      <c r="T4" t="s">
        <v>57</v>
      </c>
      <c r="U4" t="s">
        <v>97</v>
      </c>
      <c r="V4" t="s">
        <v>98</v>
      </c>
      <c r="W4" s="10"/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98</v>
      </c>
      <c r="AD4" t="s">
        <v>98</v>
      </c>
      <c r="AE4" t="s">
        <v>98</v>
      </c>
      <c r="AF4" t="s">
        <v>63</v>
      </c>
      <c r="AG4" t="s">
        <v>63</v>
      </c>
      <c r="AH4" s="3"/>
      <c r="AI4" s="3" t="s">
        <v>99</v>
      </c>
      <c r="AJ4" s="3" t="s">
        <v>65</v>
      </c>
      <c r="AK4" s="3" t="s">
        <v>62</v>
      </c>
      <c r="AL4" s="3" t="s">
        <v>62</v>
      </c>
      <c r="AM4" s="3" t="s">
        <v>85</v>
      </c>
      <c r="AN4" s="3" t="s">
        <v>67</v>
      </c>
      <c r="AO4" s="3" t="s">
        <v>86</v>
      </c>
      <c r="AP4" s="3" t="s">
        <v>87</v>
      </c>
      <c r="AQ4" s="3">
        <v>46213</v>
      </c>
      <c r="AR4" s="3" t="s">
        <v>88</v>
      </c>
      <c r="AS4" s="3" t="s">
        <v>95</v>
      </c>
      <c r="AT4" s="3" t="s">
        <v>100</v>
      </c>
      <c r="AU4" s="3" t="s">
        <v>73</v>
      </c>
      <c r="AV4" s="3" t="s">
        <v>95</v>
      </c>
      <c r="AW4" s="3" t="s">
        <v>101</v>
      </c>
      <c r="AX4" s="3" t="s">
        <v>75</v>
      </c>
      <c r="AY4" s="3" t="s">
        <v>76</v>
      </c>
    </row>
    <row r="5" spans="1:51" ht="140">
      <c r="A5" t="s">
        <v>102</v>
      </c>
      <c r="B5" t="s">
        <v>103</v>
      </c>
      <c r="C5" t="s">
        <v>53</v>
      </c>
      <c r="D5" t="s">
        <v>54</v>
      </c>
      <c r="E5" t="s">
        <v>94</v>
      </c>
      <c r="F5" s="4">
        <v>38.290039999999998</v>
      </c>
      <c r="G5" s="4">
        <v>26.351109999999998</v>
      </c>
      <c r="H5" s="5">
        <v>3.7</v>
      </c>
      <c r="I5" t="s">
        <v>57</v>
      </c>
      <c r="J5" t="s">
        <v>57</v>
      </c>
      <c r="K5" t="s">
        <v>56</v>
      </c>
      <c r="L5" t="s">
        <v>57</v>
      </c>
      <c r="M5" t="s">
        <v>57</v>
      </c>
      <c r="N5" t="s">
        <v>71</v>
      </c>
      <c r="O5" t="s">
        <v>95</v>
      </c>
      <c r="P5" t="s">
        <v>71</v>
      </c>
      <c r="Q5" s="5"/>
      <c r="R5" s="5"/>
      <c r="S5" t="s">
        <v>58</v>
      </c>
      <c r="T5" t="s">
        <v>57</v>
      </c>
      <c r="U5" t="s">
        <v>104</v>
      </c>
      <c r="V5" t="s">
        <v>98</v>
      </c>
      <c r="W5" s="10"/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98</v>
      </c>
      <c r="AD5" t="s">
        <v>98</v>
      </c>
      <c r="AE5" t="s">
        <v>98</v>
      </c>
      <c r="AF5" t="s">
        <v>63</v>
      </c>
      <c r="AG5" t="s">
        <v>63</v>
      </c>
      <c r="AH5" s="3"/>
      <c r="AI5" s="3" t="s">
        <v>105</v>
      </c>
      <c r="AJ5" s="3" t="s">
        <v>65</v>
      </c>
      <c r="AK5" s="3" t="s">
        <v>62</v>
      </c>
      <c r="AL5" s="3" t="s">
        <v>62</v>
      </c>
      <c r="AM5" s="3" t="s">
        <v>85</v>
      </c>
      <c r="AN5" s="3" t="s">
        <v>67</v>
      </c>
      <c r="AO5" s="3" t="s">
        <v>86</v>
      </c>
      <c r="AP5" s="3" t="s">
        <v>87</v>
      </c>
      <c r="AQ5" s="3">
        <v>46213</v>
      </c>
      <c r="AR5" s="3" t="s">
        <v>88</v>
      </c>
      <c r="AS5" s="3" t="s">
        <v>95</v>
      </c>
      <c r="AT5" s="3" t="s">
        <v>100</v>
      </c>
      <c r="AU5" s="3" t="s">
        <v>73</v>
      </c>
      <c r="AV5" s="3" t="s">
        <v>95</v>
      </c>
      <c r="AW5" s="3" t="s">
        <v>101</v>
      </c>
      <c r="AX5" s="3" t="s">
        <v>75</v>
      </c>
      <c r="AY5" s="3" t="s">
        <v>76</v>
      </c>
    </row>
    <row r="6" spans="1:51" ht="140">
      <c r="A6" t="s">
        <v>106</v>
      </c>
      <c r="B6" t="s">
        <v>107</v>
      </c>
      <c r="C6" t="s">
        <v>53</v>
      </c>
      <c r="D6" t="s">
        <v>54</v>
      </c>
      <c r="E6" t="s">
        <v>79</v>
      </c>
      <c r="F6" s="4">
        <v>38.312690000000003</v>
      </c>
      <c r="G6" s="4">
        <v>26.362410000000001</v>
      </c>
      <c r="H6" s="5">
        <v>3.2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71</v>
      </c>
      <c r="O6" t="s">
        <v>71</v>
      </c>
      <c r="P6" t="s">
        <v>71</v>
      </c>
      <c r="Q6" s="5"/>
      <c r="R6" s="5"/>
      <c r="S6" t="s">
        <v>108</v>
      </c>
      <c r="T6" t="s">
        <v>81</v>
      </c>
      <c r="U6" t="s">
        <v>109</v>
      </c>
      <c r="V6" t="s">
        <v>83</v>
      </c>
      <c r="W6" s="10"/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63</v>
      </c>
      <c r="AG6" t="s">
        <v>63</v>
      </c>
      <c r="AH6" s="3"/>
      <c r="AI6" s="3" t="s">
        <v>110</v>
      </c>
      <c r="AJ6" s="3" t="s">
        <v>65</v>
      </c>
      <c r="AK6" s="3" t="s">
        <v>62</v>
      </c>
      <c r="AL6" s="3" t="s">
        <v>62</v>
      </c>
      <c r="AM6" s="3" t="s">
        <v>85</v>
      </c>
      <c r="AN6" s="3" t="s">
        <v>67</v>
      </c>
      <c r="AO6" s="3" t="s">
        <v>86</v>
      </c>
      <c r="AP6" s="3" t="s">
        <v>87</v>
      </c>
      <c r="AQ6" s="3">
        <v>46213</v>
      </c>
      <c r="AR6" s="3" t="s">
        <v>88</v>
      </c>
      <c r="AS6" s="3" t="s">
        <v>89</v>
      </c>
      <c r="AT6" s="3" t="s">
        <v>90</v>
      </c>
      <c r="AU6" s="3" t="s">
        <v>73</v>
      </c>
      <c r="AV6" s="3" t="s">
        <v>89</v>
      </c>
      <c r="AW6" s="3" t="s">
        <v>91</v>
      </c>
      <c r="AX6" s="3" t="s">
        <v>75</v>
      </c>
      <c r="AY6" s="3" t="s">
        <v>76</v>
      </c>
    </row>
    <row r="7" spans="1:51" ht="140">
      <c r="A7" t="s">
        <v>111</v>
      </c>
      <c r="B7" t="s">
        <v>112</v>
      </c>
      <c r="C7" t="s">
        <v>53</v>
      </c>
      <c r="D7" t="s">
        <v>54</v>
      </c>
      <c r="E7" t="s">
        <v>94</v>
      </c>
      <c r="F7" s="4">
        <v>38.297220000000003</v>
      </c>
      <c r="G7" s="4">
        <v>26.329920000000001</v>
      </c>
      <c r="H7" s="5">
        <v>4.0999999999999996</v>
      </c>
      <c r="I7" t="s">
        <v>57</v>
      </c>
      <c r="J7" t="s">
        <v>57</v>
      </c>
      <c r="K7" t="s">
        <v>56</v>
      </c>
      <c r="L7" t="s">
        <v>57</v>
      </c>
      <c r="M7" t="s">
        <v>57</v>
      </c>
      <c r="N7" t="s">
        <v>71</v>
      </c>
      <c r="O7" t="s">
        <v>95</v>
      </c>
      <c r="P7" t="s">
        <v>71</v>
      </c>
      <c r="Q7" s="5"/>
      <c r="R7" s="5"/>
      <c r="S7" t="s">
        <v>113</v>
      </c>
      <c r="T7" t="s">
        <v>114</v>
      </c>
      <c r="U7" t="s">
        <v>115</v>
      </c>
      <c r="V7" t="s">
        <v>98</v>
      </c>
      <c r="W7" s="10"/>
      <c r="X7" t="s">
        <v>98</v>
      </c>
      <c r="Y7" t="s">
        <v>98</v>
      </c>
      <c r="Z7" t="s">
        <v>98</v>
      </c>
      <c r="AA7" t="s">
        <v>98</v>
      </c>
      <c r="AB7" t="s">
        <v>98</v>
      </c>
      <c r="AC7" t="s">
        <v>98</v>
      </c>
      <c r="AD7" t="s">
        <v>98</v>
      </c>
      <c r="AE7" t="s">
        <v>98</v>
      </c>
      <c r="AF7" t="s">
        <v>63</v>
      </c>
      <c r="AG7" t="s">
        <v>63</v>
      </c>
      <c r="AH7" s="3"/>
      <c r="AI7" s="3" t="s">
        <v>116</v>
      </c>
      <c r="AJ7" s="3" t="s">
        <v>65</v>
      </c>
      <c r="AK7" s="3" t="s">
        <v>62</v>
      </c>
      <c r="AL7" s="3" t="s">
        <v>62</v>
      </c>
      <c r="AM7" s="3" t="s">
        <v>85</v>
      </c>
      <c r="AN7" s="3" t="s">
        <v>67</v>
      </c>
      <c r="AO7" s="3" t="s">
        <v>86</v>
      </c>
      <c r="AP7" s="3" t="s">
        <v>87</v>
      </c>
      <c r="AQ7" s="3">
        <v>46213</v>
      </c>
      <c r="AR7" s="3" t="s">
        <v>88</v>
      </c>
      <c r="AS7" s="3" t="s">
        <v>95</v>
      </c>
      <c r="AT7" s="3" t="s">
        <v>100</v>
      </c>
      <c r="AU7" s="3" t="s">
        <v>73</v>
      </c>
      <c r="AV7" s="3" t="s">
        <v>95</v>
      </c>
      <c r="AW7" s="3" t="s">
        <v>101</v>
      </c>
      <c r="AX7" s="3" t="s">
        <v>75</v>
      </c>
      <c r="AY7" s="3" t="s">
        <v>76</v>
      </c>
    </row>
    <row r="8" spans="1:51" ht="140">
      <c r="A8" t="s">
        <v>117</v>
      </c>
      <c r="B8" t="s">
        <v>118</v>
      </c>
      <c r="C8" t="s">
        <v>53</v>
      </c>
      <c r="D8" t="s">
        <v>54</v>
      </c>
      <c r="E8" t="s">
        <v>55</v>
      </c>
      <c r="F8" s="4">
        <v>38.26</v>
      </c>
      <c r="G8" s="4">
        <v>26.379000000000001</v>
      </c>
      <c r="H8" s="5">
        <v>4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57</v>
      </c>
      <c r="P8" t="s">
        <v>56</v>
      </c>
      <c r="Q8" s="5"/>
      <c r="R8" s="5"/>
      <c r="S8" t="s">
        <v>58</v>
      </c>
      <c r="T8" t="s">
        <v>59</v>
      </c>
      <c r="U8" t="s">
        <v>60</v>
      </c>
      <c r="V8" t="s">
        <v>61</v>
      </c>
      <c r="W8" s="10"/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63</v>
      </c>
      <c r="AG8" t="s">
        <v>63</v>
      </c>
      <c r="AH8" s="3"/>
      <c r="AI8" s="3" t="s">
        <v>119</v>
      </c>
      <c r="AJ8" s="3" t="s">
        <v>65</v>
      </c>
      <c r="AK8" s="3" t="s">
        <v>62</v>
      </c>
      <c r="AL8" s="3" t="s">
        <v>62</v>
      </c>
      <c r="AM8" s="3" t="s">
        <v>66</v>
      </c>
      <c r="AN8" s="3" t="s">
        <v>67</v>
      </c>
      <c r="AO8" s="3" t="s">
        <v>68</v>
      </c>
      <c r="AP8" s="3" t="s">
        <v>69</v>
      </c>
      <c r="AQ8" s="3">
        <v>46213</v>
      </c>
      <c r="AR8" s="3" t="s">
        <v>70</v>
      </c>
      <c r="AS8" s="3" t="s">
        <v>71</v>
      </c>
      <c r="AT8" s="3" t="s">
        <v>72</v>
      </c>
      <c r="AU8" s="3" t="s">
        <v>73</v>
      </c>
      <c r="AV8" s="3" t="s">
        <v>71</v>
      </c>
      <c r="AW8" s="3" t="s">
        <v>74</v>
      </c>
      <c r="AX8" s="3" t="s">
        <v>75</v>
      </c>
      <c r="AY8" s="3" t="s">
        <v>76</v>
      </c>
    </row>
    <row r="9" spans="1:51" ht="140">
      <c r="A9" t="s">
        <v>120</v>
      </c>
      <c r="B9" t="s">
        <v>121</v>
      </c>
      <c r="C9" t="s">
        <v>53</v>
      </c>
      <c r="D9" t="s">
        <v>54</v>
      </c>
      <c r="E9" t="s">
        <v>94</v>
      </c>
      <c r="F9" s="4">
        <v>38.291400000000003</v>
      </c>
      <c r="G9" s="4">
        <v>26.3672</v>
      </c>
      <c r="H9" s="5">
        <v>4</v>
      </c>
      <c r="I9" t="s">
        <v>57</v>
      </c>
      <c r="J9" t="s">
        <v>57</v>
      </c>
      <c r="K9" t="s">
        <v>56</v>
      </c>
      <c r="L9" t="s">
        <v>57</v>
      </c>
      <c r="M9" t="s">
        <v>57</v>
      </c>
      <c r="N9" t="s">
        <v>71</v>
      </c>
      <c r="O9" t="s">
        <v>95</v>
      </c>
      <c r="P9" t="s">
        <v>71</v>
      </c>
      <c r="Q9" s="5"/>
      <c r="R9" s="5"/>
      <c r="S9" t="s">
        <v>80</v>
      </c>
      <c r="T9" t="s">
        <v>57</v>
      </c>
      <c r="U9" t="s">
        <v>122</v>
      </c>
      <c r="V9" t="s">
        <v>98</v>
      </c>
      <c r="W9" s="10"/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123</v>
      </c>
      <c r="AG9" t="s">
        <v>83</v>
      </c>
      <c r="AH9" s="3"/>
      <c r="AI9" s="3" t="s">
        <v>124</v>
      </c>
      <c r="AJ9" s="3" t="s">
        <v>65</v>
      </c>
      <c r="AK9" s="3" t="s">
        <v>62</v>
      </c>
      <c r="AL9" s="3" t="s">
        <v>62</v>
      </c>
      <c r="AM9" s="3" t="s">
        <v>85</v>
      </c>
      <c r="AN9" s="3" t="s">
        <v>67</v>
      </c>
      <c r="AO9" s="3" t="s">
        <v>86</v>
      </c>
      <c r="AP9" s="3" t="s">
        <v>87</v>
      </c>
      <c r="AQ9" s="3">
        <v>46213</v>
      </c>
      <c r="AR9" s="3" t="s">
        <v>88</v>
      </c>
      <c r="AS9" s="3" t="s">
        <v>95</v>
      </c>
      <c r="AT9" s="3" t="s">
        <v>100</v>
      </c>
      <c r="AU9" s="3" t="s">
        <v>73</v>
      </c>
      <c r="AV9" s="3" t="s">
        <v>95</v>
      </c>
      <c r="AW9" s="3" t="s">
        <v>101</v>
      </c>
      <c r="AX9" s="3" t="s">
        <v>75</v>
      </c>
      <c r="AY9" s="3" t="s">
        <v>76</v>
      </c>
    </row>
    <row r="10" spans="1:51" ht="140">
      <c r="A10" t="s">
        <v>125</v>
      </c>
      <c r="B10" t="s">
        <v>126</v>
      </c>
      <c r="C10" t="s">
        <v>53</v>
      </c>
      <c r="D10" t="s">
        <v>54</v>
      </c>
      <c r="E10" t="s">
        <v>94</v>
      </c>
      <c r="F10" s="4">
        <v>38.321249999999999</v>
      </c>
      <c r="G10" s="4">
        <v>26.342739999999999</v>
      </c>
      <c r="H10" s="5">
        <v>3.5</v>
      </c>
      <c r="I10" t="s">
        <v>71</v>
      </c>
      <c r="J10" t="s">
        <v>57</v>
      </c>
      <c r="K10" t="s">
        <v>56</v>
      </c>
      <c r="L10" t="s">
        <v>57</v>
      </c>
      <c r="M10" t="s">
        <v>57</v>
      </c>
      <c r="N10" t="s">
        <v>71</v>
      </c>
      <c r="O10" t="s">
        <v>95</v>
      </c>
      <c r="P10" t="s">
        <v>71</v>
      </c>
      <c r="Q10" s="5"/>
      <c r="R10" s="5"/>
      <c r="S10" t="s">
        <v>58</v>
      </c>
      <c r="T10" t="s">
        <v>57</v>
      </c>
      <c r="U10" t="s">
        <v>104</v>
      </c>
      <c r="V10" t="s">
        <v>98</v>
      </c>
      <c r="W10" s="10"/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C10" t="s">
        <v>98</v>
      </c>
      <c r="AD10" t="s">
        <v>98</v>
      </c>
      <c r="AE10" t="s">
        <v>98</v>
      </c>
      <c r="AF10" t="s">
        <v>123</v>
      </c>
      <c r="AG10" t="s">
        <v>123</v>
      </c>
      <c r="AH10" s="3"/>
      <c r="AI10" s="3" t="s">
        <v>127</v>
      </c>
      <c r="AJ10" s="3" t="s">
        <v>65</v>
      </c>
      <c r="AK10" s="3" t="s">
        <v>62</v>
      </c>
      <c r="AL10" s="3" t="s">
        <v>62</v>
      </c>
      <c r="AM10" s="3" t="s">
        <v>85</v>
      </c>
      <c r="AN10" s="3" t="s">
        <v>67</v>
      </c>
      <c r="AO10" s="3" t="s">
        <v>86</v>
      </c>
      <c r="AP10" s="3" t="s">
        <v>87</v>
      </c>
      <c r="AQ10" s="3">
        <v>46213</v>
      </c>
      <c r="AR10" s="3" t="s">
        <v>88</v>
      </c>
      <c r="AS10" s="3" t="s">
        <v>95</v>
      </c>
      <c r="AT10" s="3" t="s">
        <v>100</v>
      </c>
      <c r="AU10" s="3" t="s">
        <v>73</v>
      </c>
      <c r="AV10" s="3" t="s">
        <v>95</v>
      </c>
      <c r="AW10" s="3" t="s">
        <v>101</v>
      </c>
      <c r="AX10" s="3" t="s">
        <v>75</v>
      </c>
      <c r="AY10" s="3" t="s">
        <v>76</v>
      </c>
    </row>
    <row r="11" spans="1:51" ht="140">
      <c r="A11" t="s">
        <v>128</v>
      </c>
      <c r="B11" t="s">
        <v>129</v>
      </c>
      <c r="C11" t="s">
        <v>53</v>
      </c>
      <c r="D11" t="s">
        <v>54</v>
      </c>
      <c r="E11" t="s">
        <v>94</v>
      </c>
      <c r="F11" s="4">
        <v>38.28049</v>
      </c>
      <c r="G11" s="4">
        <v>26.337060000000001</v>
      </c>
      <c r="H11" s="5">
        <v>3.8</v>
      </c>
      <c r="I11" t="s">
        <v>57</v>
      </c>
      <c r="J11" t="s">
        <v>57</v>
      </c>
      <c r="K11" t="s">
        <v>56</v>
      </c>
      <c r="L11" t="s">
        <v>57</v>
      </c>
      <c r="M11" t="s">
        <v>57</v>
      </c>
      <c r="N11" t="s">
        <v>71</v>
      </c>
      <c r="O11" t="s">
        <v>95</v>
      </c>
      <c r="P11" t="s">
        <v>71</v>
      </c>
      <c r="Q11" s="5"/>
      <c r="R11" s="5"/>
      <c r="S11" t="s">
        <v>58</v>
      </c>
      <c r="T11" t="s">
        <v>57</v>
      </c>
      <c r="U11" t="s">
        <v>104</v>
      </c>
      <c r="V11" t="s">
        <v>98</v>
      </c>
      <c r="W11" s="10"/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C11" t="s">
        <v>98</v>
      </c>
      <c r="AD11" t="s">
        <v>98</v>
      </c>
      <c r="AE11" t="s">
        <v>98</v>
      </c>
      <c r="AF11" t="s">
        <v>123</v>
      </c>
      <c r="AG11" t="s">
        <v>123</v>
      </c>
      <c r="AH11" s="3"/>
      <c r="AI11" s="3" t="s">
        <v>130</v>
      </c>
      <c r="AJ11" s="3" t="s">
        <v>65</v>
      </c>
      <c r="AK11" s="3" t="s">
        <v>62</v>
      </c>
      <c r="AL11" s="3" t="s">
        <v>62</v>
      </c>
      <c r="AM11" s="3" t="s">
        <v>85</v>
      </c>
      <c r="AN11" s="3" t="s">
        <v>67</v>
      </c>
      <c r="AO11" s="3" t="s">
        <v>86</v>
      </c>
      <c r="AP11" s="3" t="s">
        <v>87</v>
      </c>
      <c r="AQ11" s="3">
        <v>46213</v>
      </c>
      <c r="AR11" s="3" t="s">
        <v>88</v>
      </c>
      <c r="AS11" s="3" t="s">
        <v>95</v>
      </c>
      <c r="AT11" s="3" t="s">
        <v>100</v>
      </c>
      <c r="AU11" s="3" t="s">
        <v>73</v>
      </c>
      <c r="AV11" s="3" t="s">
        <v>95</v>
      </c>
      <c r="AW11" s="3" t="s">
        <v>101</v>
      </c>
      <c r="AX11" s="3" t="s">
        <v>75</v>
      </c>
      <c r="AY11" s="3" t="s">
        <v>76</v>
      </c>
    </row>
    <row r="12" spans="1:51" ht="140">
      <c r="A12" t="s">
        <v>131</v>
      </c>
      <c r="B12" t="s">
        <v>132</v>
      </c>
      <c r="C12" t="s">
        <v>53</v>
      </c>
      <c r="D12" t="s">
        <v>54</v>
      </c>
      <c r="E12" t="s">
        <v>94</v>
      </c>
      <c r="F12" s="4">
        <v>38.307519999999997</v>
      </c>
      <c r="G12" s="4">
        <v>26.376339999999999</v>
      </c>
      <c r="H12" s="5">
        <v>3.6</v>
      </c>
      <c r="I12" t="s">
        <v>57</v>
      </c>
      <c r="J12" t="s">
        <v>57</v>
      </c>
      <c r="K12" t="s">
        <v>56</v>
      </c>
      <c r="L12" t="s">
        <v>57</v>
      </c>
      <c r="M12" t="s">
        <v>57</v>
      </c>
      <c r="N12" t="s">
        <v>71</v>
      </c>
      <c r="O12" t="s">
        <v>95</v>
      </c>
      <c r="P12" t="s">
        <v>71</v>
      </c>
      <c r="Q12" s="5"/>
      <c r="R12" s="5"/>
      <c r="S12" t="s">
        <v>80</v>
      </c>
      <c r="T12" t="s">
        <v>57</v>
      </c>
      <c r="U12" t="s">
        <v>122</v>
      </c>
      <c r="V12" t="s">
        <v>98</v>
      </c>
      <c r="W12" s="10"/>
      <c r="X12" t="s">
        <v>98</v>
      </c>
      <c r="Y12" t="s">
        <v>98</v>
      </c>
      <c r="Z12" t="s">
        <v>98</v>
      </c>
      <c r="AA12" t="s">
        <v>98</v>
      </c>
      <c r="AB12" t="s">
        <v>98</v>
      </c>
      <c r="AC12" t="s">
        <v>98</v>
      </c>
      <c r="AD12" t="s">
        <v>98</v>
      </c>
      <c r="AE12" t="s">
        <v>98</v>
      </c>
      <c r="AF12" t="s">
        <v>123</v>
      </c>
      <c r="AG12" t="s">
        <v>83</v>
      </c>
      <c r="AH12" s="3"/>
      <c r="AI12" s="3" t="s">
        <v>133</v>
      </c>
      <c r="AJ12" s="3" t="s">
        <v>65</v>
      </c>
      <c r="AK12" s="3" t="s">
        <v>62</v>
      </c>
      <c r="AL12" s="3" t="s">
        <v>62</v>
      </c>
      <c r="AM12" s="3" t="s">
        <v>85</v>
      </c>
      <c r="AN12" s="3" t="s">
        <v>67</v>
      </c>
      <c r="AO12" s="3" t="s">
        <v>86</v>
      </c>
      <c r="AP12" s="3" t="s">
        <v>87</v>
      </c>
      <c r="AQ12" s="3">
        <v>46213</v>
      </c>
      <c r="AR12" s="3" t="s">
        <v>88</v>
      </c>
      <c r="AS12" s="3" t="s">
        <v>95</v>
      </c>
      <c r="AT12" s="3" t="s">
        <v>100</v>
      </c>
      <c r="AU12" s="3" t="s">
        <v>73</v>
      </c>
      <c r="AV12" s="3" t="s">
        <v>95</v>
      </c>
      <c r="AW12" s="3" t="s">
        <v>101</v>
      </c>
      <c r="AX12" s="3" t="s">
        <v>75</v>
      </c>
      <c r="AY12" s="3" t="s">
        <v>76</v>
      </c>
    </row>
    <row r="13" spans="1:51" ht="140">
      <c r="A13" t="s">
        <v>134</v>
      </c>
      <c r="B13" t="s">
        <v>135</v>
      </c>
      <c r="C13" t="s">
        <v>53</v>
      </c>
      <c r="D13" t="s">
        <v>54</v>
      </c>
      <c r="E13" t="s">
        <v>94</v>
      </c>
      <c r="F13" s="4">
        <v>38.310720000000003</v>
      </c>
      <c r="G13" s="4">
        <v>26.317039999999999</v>
      </c>
      <c r="H13" s="5">
        <v>3.7</v>
      </c>
      <c r="I13" t="s">
        <v>57</v>
      </c>
      <c r="J13" t="s">
        <v>57</v>
      </c>
      <c r="K13" t="s">
        <v>56</v>
      </c>
      <c r="L13" t="s">
        <v>57</v>
      </c>
      <c r="M13" t="s">
        <v>57</v>
      </c>
      <c r="N13" t="s">
        <v>71</v>
      </c>
      <c r="O13" t="s">
        <v>95</v>
      </c>
      <c r="P13" t="s">
        <v>71</v>
      </c>
      <c r="Q13" s="5"/>
      <c r="R13" s="5"/>
      <c r="S13" t="s">
        <v>80</v>
      </c>
      <c r="T13" t="s">
        <v>57</v>
      </c>
      <c r="U13" t="s">
        <v>122</v>
      </c>
      <c r="V13" t="s">
        <v>98</v>
      </c>
      <c r="W13" s="10"/>
      <c r="X13" t="s">
        <v>98</v>
      </c>
      <c r="Y13" t="s">
        <v>98</v>
      </c>
      <c r="Z13" t="s">
        <v>98</v>
      </c>
      <c r="AA13" t="s">
        <v>98</v>
      </c>
      <c r="AB13" t="s">
        <v>98</v>
      </c>
      <c r="AC13" t="s">
        <v>98</v>
      </c>
      <c r="AD13" t="s">
        <v>98</v>
      </c>
      <c r="AE13" t="s">
        <v>98</v>
      </c>
      <c r="AF13" t="s">
        <v>123</v>
      </c>
      <c r="AG13" t="s">
        <v>83</v>
      </c>
      <c r="AH13" s="3"/>
      <c r="AI13" s="3" t="s">
        <v>136</v>
      </c>
      <c r="AJ13" s="3" t="s">
        <v>65</v>
      </c>
      <c r="AK13" s="3" t="s">
        <v>62</v>
      </c>
      <c r="AL13" s="3" t="s">
        <v>62</v>
      </c>
      <c r="AM13" s="3" t="s">
        <v>85</v>
      </c>
      <c r="AN13" s="3" t="s">
        <v>67</v>
      </c>
      <c r="AO13" s="3" t="s">
        <v>86</v>
      </c>
      <c r="AP13" s="3" t="s">
        <v>87</v>
      </c>
      <c r="AQ13" s="3">
        <v>46213</v>
      </c>
      <c r="AR13" s="3" t="s">
        <v>88</v>
      </c>
      <c r="AS13" s="3" t="s">
        <v>95</v>
      </c>
      <c r="AT13" s="3" t="s">
        <v>100</v>
      </c>
      <c r="AU13" s="3" t="s">
        <v>73</v>
      </c>
      <c r="AV13" s="3" t="s">
        <v>95</v>
      </c>
      <c r="AW13" s="3" t="s">
        <v>101</v>
      </c>
      <c r="AX13" s="3" t="s">
        <v>75</v>
      </c>
      <c r="AY13" s="3" t="s">
        <v>76</v>
      </c>
    </row>
    <row r="14" spans="1:51" ht="140">
      <c r="A14" t="s">
        <v>137</v>
      </c>
      <c r="B14" t="s">
        <v>138</v>
      </c>
      <c r="C14" t="s">
        <v>139</v>
      </c>
      <c r="D14" t="s">
        <v>54</v>
      </c>
      <c r="E14" t="s">
        <v>55</v>
      </c>
      <c r="F14" s="4">
        <v>37.868000000000002</v>
      </c>
      <c r="G14" s="4">
        <v>27.268000000000001</v>
      </c>
      <c r="H14" s="5">
        <v>3.8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57</v>
      </c>
      <c r="P14" t="s">
        <v>56</v>
      </c>
      <c r="Q14" s="5"/>
      <c r="R14" s="5"/>
      <c r="S14" t="s">
        <v>140</v>
      </c>
      <c r="T14" t="s">
        <v>59</v>
      </c>
      <c r="U14" t="s">
        <v>60</v>
      </c>
      <c r="V14" t="s">
        <v>141</v>
      </c>
      <c r="W14" s="10"/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63</v>
      </c>
      <c r="AG14" t="s">
        <v>63</v>
      </c>
      <c r="AH14" s="3"/>
      <c r="AI14" s="3" t="s">
        <v>142</v>
      </c>
      <c r="AJ14" s="3" t="s">
        <v>65</v>
      </c>
      <c r="AK14" s="3" t="s">
        <v>62</v>
      </c>
      <c r="AL14" s="3" t="s">
        <v>62</v>
      </c>
      <c r="AM14" s="3" t="s">
        <v>66</v>
      </c>
      <c r="AN14" s="3" t="s">
        <v>67</v>
      </c>
      <c r="AO14" s="3" t="s">
        <v>68</v>
      </c>
      <c r="AP14" s="3" t="s">
        <v>69</v>
      </c>
      <c r="AQ14" s="3">
        <v>46213</v>
      </c>
      <c r="AR14" s="3" t="s">
        <v>70</v>
      </c>
      <c r="AS14" s="3" t="s">
        <v>71</v>
      </c>
      <c r="AT14" s="3" t="s">
        <v>72</v>
      </c>
      <c r="AU14" s="3" t="s">
        <v>73</v>
      </c>
      <c r="AV14" s="3" t="s">
        <v>71</v>
      </c>
      <c r="AW14" s="3" t="s">
        <v>74</v>
      </c>
      <c r="AX14" s="3" t="s">
        <v>75</v>
      </c>
      <c r="AY14" s="3" t="s">
        <v>76</v>
      </c>
    </row>
    <row r="15" spans="1:51" ht="140">
      <c r="A15" t="s">
        <v>143</v>
      </c>
      <c r="B15" t="s">
        <v>144</v>
      </c>
      <c r="C15" t="s">
        <v>139</v>
      </c>
      <c r="D15" t="s">
        <v>54</v>
      </c>
      <c r="E15" t="s">
        <v>79</v>
      </c>
      <c r="F15" s="4">
        <v>37.549999999999997</v>
      </c>
      <c r="G15" s="4">
        <v>27.262609999999999</v>
      </c>
      <c r="H15" s="5">
        <v>3.6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71</v>
      </c>
      <c r="O15" t="s">
        <v>71</v>
      </c>
      <c r="P15" t="s">
        <v>71</v>
      </c>
      <c r="Q15" s="5"/>
      <c r="R15" s="5"/>
      <c r="S15" t="s">
        <v>80</v>
      </c>
      <c r="T15" t="s">
        <v>81</v>
      </c>
      <c r="U15" t="s">
        <v>82</v>
      </c>
      <c r="V15" t="s">
        <v>83</v>
      </c>
      <c r="W15" s="10"/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63</v>
      </c>
      <c r="AG15" t="s">
        <v>63</v>
      </c>
      <c r="AH15" s="3"/>
      <c r="AI15" s="3" t="s">
        <v>145</v>
      </c>
      <c r="AJ15" s="3" t="s">
        <v>65</v>
      </c>
      <c r="AK15" s="3" t="s">
        <v>62</v>
      </c>
      <c r="AL15" s="3" t="s">
        <v>62</v>
      </c>
      <c r="AM15" s="3" t="s">
        <v>85</v>
      </c>
      <c r="AN15" s="3" t="s">
        <v>67</v>
      </c>
      <c r="AO15" s="3" t="s">
        <v>86</v>
      </c>
      <c r="AP15" s="3" t="s">
        <v>87</v>
      </c>
      <c r="AQ15" s="3">
        <v>46213</v>
      </c>
      <c r="AR15" s="3" t="s">
        <v>88</v>
      </c>
      <c r="AS15" s="3" t="s">
        <v>89</v>
      </c>
      <c r="AT15" s="3" t="s">
        <v>90</v>
      </c>
      <c r="AU15" s="3" t="s">
        <v>73</v>
      </c>
      <c r="AV15" s="3" t="s">
        <v>89</v>
      </c>
      <c r="AW15" s="3" t="s">
        <v>91</v>
      </c>
      <c r="AX15" s="3" t="s">
        <v>75</v>
      </c>
      <c r="AY15" s="3" t="s">
        <v>76</v>
      </c>
    </row>
    <row r="16" spans="1:51" ht="140">
      <c r="A16" t="s">
        <v>146</v>
      </c>
      <c r="B16" t="s">
        <v>147</v>
      </c>
      <c r="C16" t="s">
        <v>139</v>
      </c>
      <c r="D16" t="s">
        <v>54</v>
      </c>
      <c r="E16" t="s">
        <v>94</v>
      </c>
      <c r="F16" s="4">
        <v>37.556759999999997</v>
      </c>
      <c r="G16" s="4">
        <v>27.2407</v>
      </c>
      <c r="H16" s="5">
        <v>3.9</v>
      </c>
      <c r="I16" t="s">
        <v>57</v>
      </c>
      <c r="J16" t="s">
        <v>57</v>
      </c>
      <c r="K16" t="s">
        <v>56</v>
      </c>
      <c r="L16" t="s">
        <v>57</v>
      </c>
      <c r="M16" t="s">
        <v>57</v>
      </c>
      <c r="N16" t="s">
        <v>71</v>
      </c>
      <c r="O16" t="s">
        <v>95</v>
      </c>
      <c r="P16" t="s">
        <v>71</v>
      </c>
      <c r="Q16" s="5"/>
      <c r="R16" s="5"/>
      <c r="S16" t="s">
        <v>80</v>
      </c>
      <c r="T16" t="s">
        <v>57</v>
      </c>
      <c r="U16" t="s">
        <v>122</v>
      </c>
      <c r="V16" t="s">
        <v>98</v>
      </c>
      <c r="W16" s="10"/>
      <c r="X16" t="s">
        <v>98</v>
      </c>
      <c r="Y16" t="s">
        <v>98</v>
      </c>
      <c r="Z16" t="s">
        <v>98</v>
      </c>
      <c r="AA16" t="s">
        <v>98</v>
      </c>
      <c r="AB16" t="s">
        <v>98</v>
      </c>
      <c r="AC16" t="s">
        <v>98</v>
      </c>
      <c r="AD16" t="s">
        <v>98</v>
      </c>
      <c r="AE16" t="s">
        <v>98</v>
      </c>
      <c r="AF16" t="s">
        <v>63</v>
      </c>
      <c r="AG16" t="s">
        <v>63</v>
      </c>
      <c r="AH16" s="3"/>
      <c r="AI16" s="3" t="s">
        <v>148</v>
      </c>
      <c r="AJ16" s="3" t="s">
        <v>65</v>
      </c>
      <c r="AK16" s="3" t="s">
        <v>62</v>
      </c>
      <c r="AL16" s="3" t="s">
        <v>62</v>
      </c>
      <c r="AM16" s="3" t="s">
        <v>85</v>
      </c>
      <c r="AN16" s="3" t="s">
        <v>67</v>
      </c>
      <c r="AO16" s="3" t="s">
        <v>86</v>
      </c>
      <c r="AP16" s="3" t="s">
        <v>87</v>
      </c>
      <c r="AQ16" s="3">
        <v>46213</v>
      </c>
      <c r="AR16" s="3" t="s">
        <v>88</v>
      </c>
      <c r="AS16" s="3" t="s">
        <v>95</v>
      </c>
      <c r="AT16" s="3" t="s">
        <v>100</v>
      </c>
      <c r="AU16" s="3" t="s">
        <v>73</v>
      </c>
      <c r="AV16" s="3" t="s">
        <v>95</v>
      </c>
      <c r="AW16" s="3" t="s">
        <v>101</v>
      </c>
      <c r="AX16" s="3" t="s">
        <v>75</v>
      </c>
      <c r="AY16" s="3" t="s">
        <v>76</v>
      </c>
    </row>
    <row r="17" spans="1:51" ht="140">
      <c r="A17" t="s">
        <v>149</v>
      </c>
      <c r="B17" t="s">
        <v>150</v>
      </c>
      <c r="C17" t="s">
        <v>139</v>
      </c>
      <c r="D17" t="s">
        <v>54</v>
      </c>
      <c r="E17" t="s">
        <v>94</v>
      </c>
      <c r="F17" s="4">
        <v>37.540039999999998</v>
      </c>
      <c r="G17" s="4">
        <v>27.251100000000001</v>
      </c>
      <c r="H17" s="5">
        <v>4.2</v>
      </c>
      <c r="I17" t="s">
        <v>57</v>
      </c>
      <c r="J17" t="s">
        <v>57</v>
      </c>
      <c r="K17" t="s">
        <v>56</v>
      </c>
      <c r="L17" t="s">
        <v>57</v>
      </c>
      <c r="M17" t="s">
        <v>57</v>
      </c>
      <c r="N17" t="s">
        <v>71</v>
      </c>
      <c r="O17" t="s">
        <v>95</v>
      </c>
      <c r="P17" t="s">
        <v>71</v>
      </c>
      <c r="Q17" s="5"/>
      <c r="R17" s="5"/>
      <c r="S17" t="s">
        <v>113</v>
      </c>
      <c r="T17" t="s">
        <v>114</v>
      </c>
      <c r="U17" t="s">
        <v>115</v>
      </c>
      <c r="V17" t="s">
        <v>98</v>
      </c>
      <c r="W17" s="10"/>
      <c r="X17" t="s">
        <v>98</v>
      </c>
      <c r="Y17" t="s">
        <v>98</v>
      </c>
      <c r="Z17" t="s">
        <v>98</v>
      </c>
      <c r="AA17" t="s">
        <v>98</v>
      </c>
      <c r="AB17" t="s">
        <v>98</v>
      </c>
      <c r="AC17" t="s">
        <v>98</v>
      </c>
      <c r="AD17" t="s">
        <v>98</v>
      </c>
      <c r="AE17" t="s">
        <v>98</v>
      </c>
      <c r="AF17" t="s">
        <v>123</v>
      </c>
      <c r="AG17" t="s">
        <v>83</v>
      </c>
      <c r="AH17" s="3"/>
      <c r="AI17" s="3" t="s">
        <v>151</v>
      </c>
      <c r="AJ17" s="3" t="s">
        <v>65</v>
      </c>
      <c r="AK17" s="3" t="s">
        <v>62</v>
      </c>
      <c r="AL17" s="3" t="s">
        <v>62</v>
      </c>
      <c r="AM17" s="3" t="s">
        <v>85</v>
      </c>
      <c r="AN17" s="3" t="s">
        <v>67</v>
      </c>
      <c r="AO17" s="3" t="s">
        <v>86</v>
      </c>
      <c r="AP17" s="3" t="s">
        <v>87</v>
      </c>
      <c r="AQ17" s="3">
        <v>46213</v>
      </c>
      <c r="AR17" s="3" t="s">
        <v>88</v>
      </c>
      <c r="AS17" s="3" t="s">
        <v>95</v>
      </c>
      <c r="AT17" s="3" t="s">
        <v>100</v>
      </c>
      <c r="AU17" s="3" t="s">
        <v>73</v>
      </c>
      <c r="AV17" s="3" t="s">
        <v>95</v>
      </c>
      <c r="AW17" s="3" t="s">
        <v>101</v>
      </c>
      <c r="AX17" s="3" t="s">
        <v>75</v>
      </c>
      <c r="AY17" s="3" t="s">
        <v>76</v>
      </c>
    </row>
    <row r="18" spans="1:51" ht="140">
      <c r="A18" t="s">
        <v>152</v>
      </c>
      <c r="B18" t="s">
        <v>153</v>
      </c>
      <c r="C18" t="s">
        <v>139</v>
      </c>
      <c r="D18" t="s">
        <v>54</v>
      </c>
      <c r="E18" t="s">
        <v>55</v>
      </c>
      <c r="F18" s="4">
        <v>37.340000000000003</v>
      </c>
      <c r="G18" s="4">
        <v>27.265000000000001</v>
      </c>
      <c r="H18" s="5">
        <v>3.9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57</v>
      </c>
      <c r="P18" t="s">
        <v>56</v>
      </c>
      <c r="Q18" s="5"/>
      <c r="R18" s="5"/>
      <c r="S18" t="s">
        <v>58</v>
      </c>
      <c r="T18" t="s">
        <v>59</v>
      </c>
      <c r="U18" t="s">
        <v>60</v>
      </c>
      <c r="V18" t="s">
        <v>61</v>
      </c>
      <c r="W18" s="10"/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63</v>
      </c>
      <c r="AG18" t="s">
        <v>63</v>
      </c>
      <c r="AH18" s="3"/>
      <c r="AI18" s="3" t="s">
        <v>154</v>
      </c>
      <c r="AJ18" s="3" t="s">
        <v>65</v>
      </c>
      <c r="AK18" s="3" t="s">
        <v>62</v>
      </c>
      <c r="AL18" s="3" t="s">
        <v>62</v>
      </c>
      <c r="AM18" s="3" t="s">
        <v>66</v>
      </c>
      <c r="AN18" s="3" t="s">
        <v>67</v>
      </c>
      <c r="AO18" s="3" t="s">
        <v>68</v>
      </c>
      <c r="AP18" s="3" t="s">
        <v>69</v>
      </c>
      <c r="AQ18" s="3">
        <v>46213</v>
      </c>
      <c r="AR18" s="3" t="s">
        <v>70</v>
      </c>
      <c r="AS18" s="3" t="s">
        <v>71</v>
      </c>
      <c r="AT18" s="3" t="s">
        <v>72</v>
      </c>
      <c r="AU18" s="3" t="s">
        <v>73</v>
      </c>
      <c r="AV18" s="3" t="s">
        <v>71</v>
      </c>
      <c r="AW18" s="3" t="s">
        <v>74</v>
      </c>
      <c r="AX18" s="3" t="s">
        <v>75</v>
      </c>
      <c r="AY18" s="3" t="s">
        <v>76</v>
      </c>
    </row>
    <row r="19" spans="1:51" ht="140">
      <c r="A19" t="s">
        <v>155</v>
      </c>
      <c r="B19" t="s">
        <v>156</v>
      </c>
      <c r="C19" t="s">
        <v>139</v>
      </c>
      <c r="D19" t="s">
        <v>54</v>
      </c>
      <c r="E19" t="s">
        <v>94</v>
      </c>
      <c r="F19" s="4">
        <v>37.562690000000003</v>
      </c>
      <c r="G19" s="4">
        <v>27.26229</v>
      </c>
      <c r="H19" s="5">
        <v>4.0999999999999996</v>
      </c>
      <c r="I19" t="s">
        <v>57</v>
      </c>
      <c r="J19" t="s">
        <v>57</v>
      </c>
      <c r="K19" t="s">
        <v>56</v>
      </c>
      <c r="L19" t="s">
        <v>57</v>
      </c>
      <c r="M19" t="s">
        <v>57</v>
      </c>
      <c r="N19" t="s">
        <v>71</v>
      </c>
      <c r="O19" t="s">
        <v>95</v>
      </c>
      <c r="P19" t="s">
        <v>71</v>
      </c>
      <c r="Q19" s="5"/>
      <c r="R19" s="5"/>
      <c r="S19" t="s">
        <v>80</v>
      </c>
      <c r="T19" t="s">
        <v>57</v>
      </c>
      <c r="U19" t="s">
        <v>122</v>
      </c>
      <c r="V19" t="s">
        <v>98</v>
      </c>
      <c r="W19" s="10"/>
      <c r="X19" t="s">
        <v>98</v>
      </c>
      <c r="Y19" t="s">
        <v>98</v>
      </c>
      <c r="Z19" t="s">
        <v>98</v>
      </c>
      <c r="AA19" t="s">
        <v>98</v>
      </c>
      <c r="AB19" t="s">
        <v>98</v>
      </c>
      <c r="AC19" t="s">
        <v>98</v>
      </c>
      <c r="AD19" t="s">
        <v>98</v>
      </c>
      <c r="AE19" t="s">
        <v>98</v>
      </c>
      <c r="AF19" t="s">
        <v>63</v>
      </c>
      <c r="AG19" t="s">
        <v>63</v>
      </c>
      <c r="AH19" s="3"/>
      <c r="AI19" s="3" t="s">
        <v>157</v>
      </c>
      <c r="AJ19" s="3" t="s">
        <v>65</v>
      </c>
      <c r="AK19" s="3" t="s">
        <v>62</v>
      </c>
      <c r="AL19" s="3" t="s">
        <v>62</v>
      </c>
      <c r="AM19" s="3" t="s">
        <v>85</v>
      </c>
      <c r="AN19" s="3" t="s">
        <v>67</v>
      </c>
      <c r="AO19" s="3" t="s">
        <v>86</v>
      </c>
      <c r="AP19" s="3" t="s">
        <v>87</v>
      </c>
      <c r="AQ19" s="3">
        <v>46213</v>
      </c>
      <c r="AR19" s="3" t="s">
        <v>88</v>
      </c>
      <c r="AS19" s="3" t="s">
        <v>95</v>
      </c>
      <c r="AT19" s="3" t="s">
        <v>100</v>
      </c>
      <c r="AU19" s="3" t="s">
        <v>73</v>
      </c>
      <c r="AV19" s="3" t="s">
        <v>95</v>
      </c>
      <c r="AW19" s="3" t="s">
        <v>101</v>
      </c>
      <c r="AX19" s="3" t="s">
        <v>75</v>
      </c>
      <c r="AY19" s="3" t="s">
        <v>76</v>
      </c>
    </row>
    <row r="20" spans="1:51" ht="140">
      <c r="A20" t="s">
        <v>158</v>
      </c>
      <c r="B20" t="s">
        <v>159</v>
      </c>
      <c r="C20" t="s">
        <v>139</v>
      </c>
      <c r="D20" t="s">
        <v>54</v>
      </c>
      <c r="E20" t="s">
        <v>94</v>
      </c>
      <c r="F20" s="4">
        <v>37.547220000000003</v>
      </c>
      <c r="G20" s="4">
        <v>27.230129999999999</v>
      </c>
      <c r="H20" s="5">
        <v>4.2</v>
      </c>
      <c r="I20" t="s">
        <v>57</v>
      </c>
      <c r="J20" t="s">
        <v>57</v>
      </c>
      <c r="K20" t="s">
        <v>56</v>
      </c>
      <c r="L20" t="s">
        <v>57</v>
      </c>
      <c r="M20" t="s">
        <v>57</v>
      </c>
      <c r="N20" t="s">
        <v>71</v>
      </c>
      <c r="O20" t="s">
        <v>95</v>
      </c>
      <c r="P20" t="s">
        <v>71</v>
      </c>
      <c r="Q20" s="5"/>
      <c r="R20" s="5"/>
      <c r="S20" t="s">
        <v>113</v>
      </c>
      <c r="T20" t="s">
        <v>114</v>
      </c>
      <c r="U20" t="s">
        <v>115</v>
      </c>
      <c r="V20" t="s">
        <v>98</v>
      </c>
      <c r="W20" s="10"/>
      <c r="X20" t="s">
        <v>98</v>
      </c>
      <c r="Y20" t="s">
        <v>98</v>
      </c>
      <c r="Z20" t="s">
        <v>98</v>
      </c>
      <c r="AA20" t="s">
        <v>98</v>
      </c>
      <c r="AB20" t="s">
        <v>98</v>
      </c>
      <c r="AC20" t="s">
        <v>98</v>
      </c>
      <c r="AD20" t="s">
        <v>98</v>
      </c>
      <c r="AE20" t="s">
        <v>98</v>
      </c>
      <c r="AF20" t="s">
        <v>123</v>
      </c>
      <c r="AG20" t="s">
        <v>123</v>
      </c>
      <c r="AH20" s="3"/>
      <c r="AI20" s="3" t="s">
        <v>160</v>
      </c>
      <c r="AJ20" s="3" t="s">
        <v>65</v>
      </c>
      <c r="AK20" s="3" t="s">
        <v>62</v>
      </c>
      <c r="AL20" s="3" t="s">
        <v>62</v>
      </c>
      <c r="AM20" s="3" t="s">
        <v>85</v>
      </c>
      <c r="AN20" s="3" t="s">
        <v>67</v>
      </c>
      <c r="AO20" s="3" t="s">
        <v>86</v>
      </c>
      <c r="AP20" s="3" t="s">
        <v>87</v>
      </c>
      <c r="AQ20" s="3">
        <v>46213</v>
      </c>
      <c r="AR20" s="3" t="s">
        <v>88</v>
      </c>
      <c r="AS20" s="3" t="s">
        <v>95</v>
      </c>
      <c r="AT20" s="3" t="s">
        <v>100</v>
      </c>
      <c r="AU20" s="3" t="s">
        <v>73</v>
      </c>
      <c r="AV20" s="3" t="s">
        <v>95</v>
      </c>
      <c r="AW20" s="3" t="s">
        <v>101</v>
      </c>
      <c r="AX20" s="3" t="s">
        <v>75</v>
      </c>
      <c r="AY20" s="3" t="s">
        <v>76</v>
      </c>
    </row>
    <row r="21" spans="1:51" ht="140">
      <c r="A21" t="s">
        <v>161</v>
      </c>
      <c r="B21" t="s">
        <v>162</v>
      </c>
      <c r="C21" t="s">
        <v>139</v>
      </c>
      <c r="D21" t="s">
        <v>54</v>
      </c>
      <c r="E21" t="s">
        <v>94</v>
      </c>
      <c r="F21" s="4">
        <v>37.541400000000003</v>
      </c>
      <c r="G21" s="4">
        <v>27.267019999999999</v>
      </c>
      <c r="H21" s="5">
        <v>3.9</v>
      </c>
      <c r="I21" t="s">
        <v>57</v>
      </c>
      <c r="J21" t="s">
        <v>57</v>
      </c>
      <c r="K21" t="s">
        <v>56</v>
      </c>
      <c r="L21" t="s">
        <v>57</v>
      </c>
      <c r="M21" t="s">
        <v>57</v>
      </c>
      <c r="N21" t="s">
        <v>71</v>
      </c>
      <c r="O21" t="s">
        <v>95</v>
      </c>
      <c r="P21" t="s">
        <v>71</v>
      </c>
      <c r="Q21" s="5"/>
      <c r="R21" s="5"/>
      <c r="S21" t="s">
        <v>96</v>
      </c>
      <c r="T21" t="s">
        <v>57</v>
      </c>
      <c r="U21" t="s">
        <v>97</v>
      </c>
      <c r="V21" t="s">
        <v>98</v>
      </c>
      <c r="W21" s="10"/>
      <c r="X21" t="s">
        <v>98</v>
      </c>
      <c r="Y21" t="s">
        <v>98</v>
      </c>
      <c r="Z21" t="s">
        <v>98</v>
      </c>
      <c r="AA21" t="s">
        <v>98</v>
      </c>
      <c r="AB21" t="s">
        <v>98</v>
      </c>
      <c r="AC21" t="s">
        <v>98</v>
      </c>
      <c r="AD21" t="s">
        <v>98</v>
      </c>
      <c r="AE21" t="s">
        <v>98</v>
      </c>
      <c r="AF21" t="s">
        <v>63</v>
      </c>
      <c r="AG21" t="s">
        <v>63</v>
      </c>
      <c r="AH21" s="3"/>
      <c r="AI21" s="3" t="s">
        <v>163</v>
      </c>
      <c r="AJ21" s="3" t="s">
        <v>65</v>
      </c>
      <c r="AK21" s="3" t="s">
        <v>62</v>
      </c>
      <c r="AL21" s="3" t="s">
        <v>62</v>
      </c>
      <c r="AM21" s="3" t="s">
        <v>85</v>
      </c>
      <c r="AN21" s="3" t="s">
        <v>67</v>
      </c>
      <c r="AO21" s="3" t="s">
        <v>86</v>
      </c>
      <c r="AP21" s="3" t="s">
        <v>87</v>
      </c>
      <c r="AQ21" s="3">
        <v>46213</v>
      </c>
      <c r="AR21" s="3" t="s">
        <v>88</v>
      </c>
      <c r="AS21" s="3" t="s">
        <v>95</v>
      </c>
      <c r="AT21" s="3" t="s">
        <v>100</v>
      </c>
      <c r="AU21" s="3" t="s">
        <v>73</v>
      </c>
      <c r="AV21" s="3" t="s">
        <v>95</v>
      </c>
      <c r="AW21" s="3" t="s">
        <v>101</v>
      </c>
      <c r="AX21" s="3" t="s">
        <v>75</v>
      </c>
      <c r="AY21" s="3" t="s">
        <v>76</v>
      </c>
    </row>
    <row r="22" spans="1:51" ht="140">
      <c r="A22" t="s">
        <v>164</v>
      </c>
      <c r="B22" t="s">
        <v>165</v>
      </c>
      <c r="C22" t="s">
        <v>139</v>
      </c>
      <c r="D22" t="s">
        <v>54</v>
      </c>
      <c r="E22" t="s">
        <v>94</v>
      </c>
      <c r="F22" s="4">
        <v>37.571249999999999</v>
      </c>
      <c r="G22" s="4">
        <v>27.242819999999998</v>
      </c>
      <c r="H22" s="5">
        <v>3.5</v>
      </c>
      <c r="I22" t="s">
        <v>57</v>
      </c>
      <c r="J22" t="s">
        <v>57</v>
      </c>
      <c r="K22" t="s">
        <v>56</v>
      </c>
      <c r="L22" t="s">
        <v>57</v>
      </c>
      <c r="M22" t="s">
        <v>57</v>
      </c>
      <c r="N22" t="s">
        <v>71</v>
      </c>
      <c r="O22" t="s">
        <v>95</v>
      </c>
      <c r="P22" t="s">
        <v>71</v>
      </c>
      <c r="Q22" s="5"/>
      <c r="R22" s="5"/>
      <c r="S22" t="s">
        <v>113</v>
      </c>
      <c r="T22" t="s">
        <v>114</v>
      </c>
      <c r="U22" t="s">
        <v>115</v>
      </c>
      <c r="V22" t="s">
        <v>98</v>
      </c>
      <c r="W22" s="10"/>
      <c r="X22" t="s">
        <v>98</v>
      </c>
      <c r="Y22" t="s">
        <v>98</v>
      </c>
      <c r="Z22" t="s">
        <v>98</v>
      </c>
      <c r="AA22" t="s">
        <v>98</v>
      </c>
      <c r="AB22" t="s">
        <v>98</v>
      </c>
      <c r="AC22" t="s">
        <v>98</v>
      </c>
      <c r="AD22" t="s">
        <v>98</v>
      </c>
      <c r="AE22" t="s">
        <v>98</v>
      </c>
      <c r="AF22" t="s">
        <v>123</v>
      </c>
      <c r="AG22" t="s">
        <v>83</v>
      </c>
      <c r="AH22" s="3"/>
      <c r="AI22" s="3" t="s">
        <v>166</v>
      </c>
      <c r="AJ22" s="3" t="s">
        <v>65</v>
      </c>
      <c r="AK22" s="3" t="s">
        <v>62</v>
      </c>
      <c r="AL22" s="3" t="s">
        <v>62</v>
      </c>
      <c r="AM22" s="3" t="s">
        <v>85</v>
      </c>
      <c r="AN22" s="3" t="s">
        <v>67</v>
      </c>
      <c r="AO22" s="3" t="s">
        <v>86</v>
      </c>
      <c r="AP22" s="3" t="s">
        <v>87</v>
      </c>
      <c r="AQ22" s="3">
        <v>46213</v>
      </c>
      <c r="AR22" s="3" t="s">
        <v>88</v>
      </c>
      <c r="AS22" s="3" t="s">
        <v>95</v>
      </c>
      <c r="AT22" s="3" t="s">
        <v>100</v>
      </c>
      <c r="AU22" s="3" t="s">
        <v>73</v>
      </c>
      <c r="AV22" s="3" t="s">
        <v>95</v>
      </c>
      <c r="AW22" s="3" t="s">
        <v>101</v>
      </c>
      <c r="AX22" s="3" t="s">
        <v>75</v>
      </c>
      <c r="AY22" s="3" t="s">
        <v>76</v>
      </c>
    </row>
    <row r="23" spans="1:51" ht="140">
      <c r="A23" t="s">
        <v>167</v>
      </c>
      <c r="B23" t="s">
        <v>168</v>
      </c>
      <c r="C23" t="s">
        <v>139</v>
      </c>
      <c r="D23" t="s">
        <v>54</v>
      </c>
      <c r="E23" t="s">
        <v>94</v>
      </c>
      <c r="F23" s="4">
        <v>37.53049</v>
      </c>
      <c r="G23" s="4">
        <v>27.237189999999998</v>
      </c>
      <c r="H23" s="5">
        <v>3.8</v>
      </c>
      <c r="I23" t="s">
        <v>57</v>
      </c>
      <c r="J23" t="s">
        <v>57</v>
      </c>
      <c r="K23" t="s">
        <v>56</v>
      </c>
      <c r="L23" t="s">
        <v>57</v>
      </c>
      <c r="M23" t="s">
        <v>57</v>
      </c>
      <c r="N23" t="s">
        <v>71</v>
      </c>
      <c r="O23" t="s">
        <v>95</v>
      </c>
      <c r="P23" t="s">
        <v>71</v>
      </c>
      <c r="Q23" s="5"/>
      <c r="R23" s="5"/>
      <c r="S23" t="s">
        <v>96</v>
      </c>
      <c r="T23" t="s">
        <v>57</v>
      </c>
      <c r="U23" t="s">
        <v>97</v>
      </c>
      <c r="V23" t="s">
        <v>98</v>
      </c>
      <c r="W23" s="10"/>
      <c r="X23" t="s">
        <v>98</v>
      </c>
      <c r="Y23" t="s">
        <v>98</v>
      </c>
      <c r="Z23" t="s">
        <v>98</v>
      </c>
      <c r="AA23" t="s">
        <v>98</v>
      </c>
      <c r="AB23" t="s">
        <v>98</v>
      </c>
      <c r="AC23" t="s">
        <v>98</v>
      </c>
      <c r="AD23" t="s">
        <v>98</v>
      </c>
      <c r="AE23" t="s">
        <v>98</v>
      </c>
      <c r="AF23" t="s">
        <v>63</v>
      </c>
      <c r="AG23" t="s">
        <v>63</v>
      </c>
      <c r="AH23" s="3"/>
      <c r="AI23" s="3" t="s">
        <v>169</v>
      </c>
      <c r="AJ23" s="3" t="s">
        <v>65</v>
      </c>
      <c r="AK23" s="3" t="s">
        <v>62</v>
      </c>
      <c r="AL23" s="3" t="s">
        <v>62</v>
      </c>
      <c r="AM23" s="3" t="s">
        <v>85</v>
      </c>
      <c r="AN23" s="3" t="s">
        <v>67</v>
      </c>
      <c r="AO23" s="3" t="s">
        <v>86</v>
      </c>
      <c r="AP23" s="3" t="s">
        <v>87</v>
      </c>
      <c r="AQ23" s="3">
        <v>46213</v>
      </c>
      <c r="AR23" s="3" t="s">
        <v>88</v>
      </c>
      <c r="AS23" s="3" t="s">
        <v>95</v>
      </c>
      <c r="AT23" s="3" t="s">
        <v>100</v>
      </c>
      <c r="AU23" s="3" t="s">
        <v>73</v>
      </c>
      <c r="AV23" s="3" t="s">
        <v>95</v>
      </c>
      <c r="AW23" s="3" t="s">
        <v>101</v>
      </c>
      <c r="AX23" s="3" t="s">
        <v>75</v>
      </c>
      <c r="AY23" s="3" t="s">
        <v>76</v>
      </c>
    </row>
    <row r="24" spans="1:51" ht="140">
      <c r="A24" t="s">
        <v>170</v>
      </c>
      <c r="B24" t="s">
        <v>171</v>
      </c>
      <c r="C24" t="s">
        <v>139</v>
      </c>
      <c r="D24" t="s">
        <v>54</v>
      </c>
      <c r="E24" t="s">
        <v>94</v>
      </c>
      <c r="F24" s="4">
        <v>37.557519999999997</v>
      </c>
      <c r="G24" s="4">
        <v>27.27608</v>
      </c>
      <c r="H24" s="5">
        <v>3.9</v>
      </c>
      <c r="I24" t="s">
        <v>57</v>
      </c>
      <c r="J24" t="s">
        <v>57</v>
      </c>
      <c r="K24" t="s">
        <v>56</v>
      </c>
      <c r="L24" t="s">
        <v>57</v>
      </c>
      <c r="M24" t="s">
        <v>57</v>
      </c>
      <c r="N24" t="s">
        <v>71</v>
      </c>
      <c r="O24" t="s">
        <v>95</v>
      </c>
      <c r="P24" t="s">
        <v>71</v>
      </c>
      <c r="Q24" s="5"/>
      <c r="R24" s="5"/>
      <c r="S24" t="s">
        <v>96</v>
      </c>
      <c r="T24" t="s">
        <v>57</v>
      </c>
      <c r="U24" t="s">
        <v>97</v>
      </c>
      <c r="V24" t="s">
        <v>98</v>
      </c>
      <c r="W24" s="10"/>
      <c r="X24" t="s">
        <v>98</v>
      </c>
      <c r="Y24" t="s">
        <v>98</v>
      </c>
      <c r="Z24" t="s">
        <v>98</v>
      </c>
      <c r="AA24" t="s">
        <v>98</v>
      </c>
      <c r="AB24" t="s">
        <v>98</v>
      </c>
      <c r="AC24" t="s">
        <v>98</v>
      </c>
      <c r="AD24" t="s">
        <v>98</v>
      </c>
      <c r="AE24" t="s">
        <v>98</v>
      </c>
      <c r="AF24" t="s">
        <v>63</v>
      </c>
      <c r="AG24" t="s">
        <v>63</v>
      </c>
      <c r="AH24" s="3"/>
      <c r="AI24" s="3" t="s">
        <v>172</v>
      </c>
      <c r="AJ24" s="3" t="s">
        <v>65</v>
      </c>
      <c r="AK24" s="3" t="s">
        <v>62</v>
      </c>
      <c r="AL24" s="3" t="s">
        <v>62</v>
      </c>
      <c r="AM24" s="3" t="s">
        <v>85</v>
      </c>
      <c r="AN24" s="3" t="s">
        <v>67</v>
      </c>
      <c r="AO24" s="3" t="s">
        <v>86</v>
      </c>
      <c r="AP24" s="3" t="s">
        <v>87</v>
      </c>
      <c r="AQ24" s="3">
        <v>46213</v>
      </c>
      <c r="AR24" s="3" t="s">
        <v>88</v>
      </c>
      <c r="AS24" s="3" t="s">
        <v>95</v>
      </c>
      <c r="AT24" s="3" t="s">
        <v>100</v>
      </c>
      <c r="AU24" s="3" t="s">
        <v>73</v>
      </c>
      <c r="AV24" s="3" t="s">
        <v>95</v>
      </c>
      <c r="AW24" s="3" t="s">
        <v>101</v>
      </c>
      <c r="AX24" s="3" t="s">
        <v>75</v>
      </c>
      <c r="AY24" s="3" t="s">
        <v>76</v>
      </c>
    </row>
    <row r="25" spans="1:51" ht="140">
      <c r="A25" t="s">
        <v>173</v>
      </c>
      <c r="B25" t="s">
        <v>174</v>
      </c>
      <c r="C25" t="s">
        <v>139</v>
      </c>
      <c r="D25" t="s">
        <v>54</v>
      </c>
      <c r="E25" t="s">
        <v>79</v>
      </c>
      <c r="F25" s="4">
        <v>37.560720000000003</v>
      </c>
      <c r="G25" s="4">
        <v>27.217369999999999</v>
      </c>
      <c r="H25" s="5">
        <v>3.8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71</v>
      </c>
      <c r="O25" t="s">
        <v>71</v>
      </c>
      <c r="P25" t="s">
        <v>71</v>
      </c>
      <c r="Q25" s="5"/>
      <c r="R25" s="5"/>
      <c r="S25" t="s">
        <v>58</v>
      </c>
      <c r="T25" t="s">
        <v>81</v>
      </c>
      <c r="U25" t="s">
        <v>175</v>
      </c>
      <c r="V25" t="s">
        <v>83</v>
      </c>
      <c r="W25" s="10"/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63</v>
      </c>
      <c r="AG25" t="s">
        <v>63</v>
      </c>
      <c r="AH25" s="3"/>
      <c r="AI25" s="3" t="s">
        <v>176</v>
      </c>
      <c r="AJ25" s="3" t="s">
        <v>65</v>
      </c>
      <c r="AK25" s="3" t="s">
        <v>62</v>
      </c>
      <c r="AL25" s="3" t="s">
        <v>62</v>
      </c>
      <c r="AM25" s="3" t="s">
        <v>85</v>
      </c>
      <c r="AN25" s="3" t="s">
        <v>67</v>
      </c>
      <c r="AO25" s="3" t="s">
        <v>86</v>
      </c>
      <c r="AP25" s="3" t="s">
        <v>87</v>
      </c>
      <c r="AQ25" s="3">
        <v>46213</v>
      </c>
      <c r="AR25" s="3" t="s">
        <v>88</v>
      </c>
      <c r="AS25" s="3" t="s">
        <v>89</v>
      </c>
      <c r="AT25" s="3" t="s">
        <v>90</v>
      </c>
      <c r="AU25" s="3" t="s">
        <v>73</v>
      </c>
      <c r="AV25" s="3" t="s">
        <v>89</v>
      </c>
      <c r="AW25" s="3" t="s">
        <v>91</v>
      </c>
      <c r="AX25" s="3" t="s">
        <v>75</v>
      </c>
      <c r="AY25" s="3" t="s">
        <v>76</v>
      </c>
    </row>
    <row r="26" spans="1:51" ht="140">
      <c r="A26" t="s">
        <v>177</v>
      </c>
      <c r="B26" t="s">
        <v>178</v>
      </c>
      <c r="C26" t="s">
        <v>179</v>
      </c>
      <c r="D26" t="s">
        <v>54</v>
      </c>
      <c r="E26" t="s">
        <v>55</v>
      </c>
      <c r="F26" s="4">
        <v>37.033999999999999</v>
      </c>
      <c r="G26" s="4">
        <v>27.422999999999998</v>
      </c>
      <c r="H26" s="5">
        <v>3.6</v>
      </c>
      <c r="I26" t="s">
        <v>56</v>
      </c>
      <c r="J26" t="s">
        <v>56</v>
      </c>
      <c r="K26" t="s">
        <v>56</v>
      </c>
      <c r="L26" t="s">
        <v>56</v>
      </c>
      <c r="M26" t="s">
        <v>57</v>
      </c>
      <c r="N26" t="s">
        <v>56</v>
      </c>
      <c r="O26" t="s">
        <v>56</v>
      </c>
      <c r="P26" t="s">
        <v>56</v>
      </c>
      <c r="Q26" s="5"/>
      <c r="R26" s="5"/>
      <c r="S26" t="s">
        <v>180</v>
      </c>
      <c r="T26" t="s">
        <v>59</v>
      </c>
      <c r="U26" t="s">
        <v>60</v>
      </c>
      <c r="V26" t="s">
        <v>141</v>
      </c>
      <c r="W26" s="10"/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63</v>
      </c>
      <c r="AG26" t="s">
        <v>63</v>
      </c>
      <c r="AH26" s="3"/>
      <c r="AI26" s="3" t="s">
        <v>181</v>
      </c>
      <c r="AJ26" s="3" t="s">
        <v>65</v>
      </c>
      <c r="AK26" s="3" t="s">
        <v>62</v>
      </c>
      <c r="AL26" s="3" t="s">
        <v>62</v>
      </c>
      <c r="AM26" s="3" t="s">
        <v>66</v>
      </c>
      <c r="AN26" s="3" t="s">
        <v>67</v>
      </c>
      <c r="AO26" s="3" t="s">
        <v>68</v>
      </c>
      <c r="AP26" s="3" t="s">
        <v>69</v>
      </c>
      <c r="AQ26" s="3">
        <v>46213</v>
      </c>
      <c r="AR26" s="3" t="s">
        <v>70</v>
      </c>
      <c r="AS26" s="3" t="s">
        <v>71</v>
      </c>
      <c r="AT26" s="3" t="s">
        <v>72</v>
      </c>
      <c r="AU26" s="3" t="s">
        <v>73</v>
      </c>
      <c r="AV26" s="3" t="s">
        <v>71</v>
      </c>
      <c r="AW26" s="3" t="s">
        <v>74</v>
      </c>
      <c r="AX26" s="3" t="s">
        <v>75</v>
      </c>
      <c r="AY26" s="3" t="s">
        <v>76</v>
      </c>
    </row>
    <row r="27" spans="1:51" ht="140">
      <c r="A27" t="s">
        <v>182</v>
      </c>
      <c r="B27" t="s">
        <v>183</v>
      </c>
      <c r="C27" t="s">
        <v>179</v>
      </c>
      <c r="D27" t="s">
        <v>54</v>
      </c>
      <c r="E27" t="s">
        <v>79</v>
      </c>
      <c r="F27" s="4">
        <v>37.049999999999997</v>
      </c>
      <c r="G27" s="4">
        <v>27.392530000000001</v>
      </c>
      <c r="H27" s="5">
        <v>3.6</v>
      </c>
      <c r="I27" t="s">
        <v>57</v>
      </c>
      <c r="J27" t="s">
        <v>57</v>
      </c>
      <c r="K27" t="s">
        <v>57</v>
      </c>
      <c r="L27" t="s">
        <v>71</v>
      </c>
      <c r="M27" t="s">
        <v>71</v>
      </c>
      <c r="N27" t="s">
        <v>71</v>
      </c>
      <c r="O27" t="s">
        <v>57</v>
      </c>
      <c r="P27" t="s">
        <v>57</v>
      </c>
      <c r="Q27" s="5"/>
      <c r="R27" s="5"/>
      <c r="S27" t="s">
        <v>108</v>
      </c>
      <c r="T27" t="s">
        <v>81</v>
      </c>
      <c r="U27" t="s">
        <v>109</v>
      </c>
      <c r="V27" t="s">
        <v>83</v>
      </c>
      <c r="W27" s="10"/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63</v>
      </c>
      <c r="AG27" t="s">
        <v>63</v>
      </c>
      <c r="AH27" s="3"/>
      <c r="AI27" s="3" t="s">
        <v>184</v>
      </c>
      <c r="AJ27" s="3" t="s">
        <v>65</v>
      </c>
      <c r="AK27" s="3" t="s">
        <v>62</v>
      </c>
      <c r="AL27" s="3" t="s">
        <v>62</v>
      </c>
      <c r="AM27" s="3" t="s">
        <v>85</v>
      </c>
      <c r="AN27" s="3" t="s">
        <v>67</v>
      </c>
      <c r="AO27" s="3" t="s">
        <v>86</v>
      </c>
      <c r="AP27" s="3" t="s">
        <v>87</v>
      </c>
      <c r="AQ27" s="3">
        <v>46213</v>
      </c>
      <c r="AR27" s="3" t="s">
        <v>88</v>
      </c>
      <c r="AS27" s="3" t="s">
        <v>89</v>
      </c>
      <c r="AT27" s="3" t="s">
        <v>90</v>
      </c>
      <c r="AU27" s="3" t="s">
        <v>73</v>
      </c>
      <c r="AV27" s="3" t="s">
        <v>89</v>
      </c>
      <c r="AW27" s="3" t="s">
        <v>91</v>
      </c>
      <c r="AX27" s="3" t="s">
        <v>75</v>
      </c>
      <c r="AY27" s="3" t="s">
        <v>76</v>
      </c>
    </row>
    <row r="28" spans="1:51" ht="140">
      <c r="A28" t="s">
        <v>185</v>
      </c>
      <c r="B28" t="s">
        <v>186</v>
      </c>
      <c r="C28" t="s">
        <v>179</v>
      </c>
      <c r="D28" t="s">
        <v>54</v>
      </c>
      <c r="E28" t="s">
        <v>94</v>
      </c>
      <c r="F28" s="4">
        <v>37.056759999999997</v>
      </c>
      <c r="G28" s="4">
        <v>27.370760000000001</v>
      </c>
      <c r="H28" s="5">
        <v>4.2</v>
      </c>
      <c r="I28" t="s">
        <v>56</v>
      </c>
      <c r="J28" t="s">
        <v>57</v>
      </c>
      <c r="K28" t="s">
        <v>57</v>
      </c>
      <c r="L28" t="s">
        <v>71</v>
      </c>
      <c r="M28" t="s">
        <v>95</v>
      </c>
      <c r="N28" t="s">
        <v>71</v>
      </c>
      <c r="O28" t="s">
        <v>57</v>
      </c>
      <c r="P28" t="s">
        <v>57</v>
      </c>
      <c r="Q28" s="5"/>
      <c r="R28" s="5"/>
      <c r="S28" t="s">
        <v>96</v>
      </c>
      <c r="T28" t="s">
        <v>57</v>
      </c>
      <c r="U28" t="s">
        <v>97</v>
      </c>
      <c r="V28" t="s">
        <v>98</v>
      </c>
      <c r="W28" s="10"/>
      <c r="X28" t="s">
        <v>98</v>
      </c>
      <c r="Y28" t="s">
        <v>98</v>
      </c>
      <c r="Z28" t="s">
        <v>98</v>
      </c>
      <c r="AA28" t="s">
        <v>98</v>
      </c>
      <c r="AB28" t="s">
        <v>98</v>
      </c>
      <c r="AC28" t="s">
        <v>98</v>
      </c>
      <c r="AD28" t="s">
        <v>98</v>
      </c>
      <c r="AE28" t="s">
        <v>98</v>
      </c>
      <c r="AF28" t="s">
        <v>63</v>
      </c>
      <c r="AG28" t="s">
        <v>63</v>
      </c>
      <c r="AH28" s="3"/>
      <c r="AI28" s="3" t="s">
        <v>187</v>
      </c>
      <c r="AJ28" s="3" t="s">
        <v>65</v>
      </c>
      <c r="AK28" s="3" t="s">
        <v>62</v>
      </c>
      <c r="AL28" s="3" t="s">
        <v>62</v>
      </c>
      <c r="AM28" s="3" t="s">
        <v>85</v>
      </c>
      <c r="AN28" s="3" t="s">
        <v>67</v>
      </c>
      <c r="AO28" s="3" t="s">
        <v>86</v>
      </c>
      <c r="AP28" s="3" t="s">
        <v>87</v>
      </c>
      <c r="AQ28" s="3">
        <v>46213</v>
      </c>
      <c r="AR28" s="3" t="s">
        <v>88</v>
      </c>
      <c r="AS28" s="3" t="s">
        <v>95</v>
      </c>
      <c r="AT28" s="3" t="s">
        <v>100</v>
      </c>
      <c r="AU28" s="3" t="s">
        <v>73</v>
      </c>
      <c r="AV28" s="3" t="s">
        <v>95</v>
      </c>
      <c r="AW28" s="3" t="s">
        <v>101</v>
      </c>
      <c r="AX28" s="3" t="s">
        <v>75</v>
      </c>
      <c r="AY28" s="3" t="s">
        <v>76</v>
      </c>
    </row>
    <row r="29" spans="1:51" ht="140">
      <c r="A29" t="s">
        <v>188</v>
      </c>
      <c r="B29" t="s">
        <v>189</v>
      </c>
      <c r="C29" t="s">
        <v>179</v>
      </c>
      <c r="D29" t="s">
        <v>54</v>
      </c>
      <c r="E29" t="s">
        <v>94</v>
      </c>
      <c r="F29" s="4">
        <v>37.040039999999998</v>
      </c>
      <c r="G29" s="4">
        <v>27.38109</v>
      </c>
      <c r="H29" s="5">
        <v>4.2</v>
      </c>
      <c r="I29" t="s">
        <v>56</v>
      </c>
      <c r="J29" t="s">
        <v>57</v>
      </c>
      <c r="K29" t="s">
        <v>57</v>
      </c>
      <c r="L29" t="s">
        <v>71</v>
      </c>
      <c r="M29" t="s">
        <v>95</v>
      </c>
      <c r="N29" t="s">
        <v>71</v>
      </c>
      <c r="O29" t="s">
        <v>57</v>
      </c>
      <c r="P29" t="s">
        <v>57</v>
      </c>
      <c r="Q29" s="5"/>
      <c r="R29" s="5"/>
      <c r="S29" t="s">
        <v>58</v>
      </c>
      <c r="T29" t="s">
        <v>57</v>
      </c>
      <c r="U29" t="s">
        <v>104</v>
      </c>
      <c r="V29" t="s">
        <v>98</v>
      </c>
      <c r="W29" s="10"/>
      <c r="X29" t="s">
        <v>98</v>
      </c>
      <c r="Y29" t="s">
        <v>98</v>
      </c>
      <c r="Z29" t="s">
        <v>98</v>
      </c>
      <c r="AA29" t="s">
        <v>98</v>
      </c>
      <c r="AB29" t="s">
        <v>98</v>
      </c>
      <c r="AC29" t="s">
        <v>98</v>
      </c>
      <c r="AD29" t="s">
        <v>98</v>
      </c>
      <c r="AE29" t="s">
        <v>98</v>
      </c>
      <c r="AF29" t="s">
        <v>63</v>
      </c>
      <c r="AG29" t="s">
        <v>63</v>
      </c>
      <c r="AH29" s="3"/>
      <c r="AI29" s="3" t="s">
        <v>190</v>
      </c>
      <c r="AJ29" s="3" t="s">
        <v>65</v>
      </c>
      <c r="AK29" s="3" t="s">
        <v>62</v>
      </c>
      <c r="AL29" s="3" t="s">
        <v>62</v>
      </c>
      <c r="AM29" s="3" t="s">
        <v>85</v>
      </c>
      <c r="AN29" s="3" t="s">
        <v>67</v>
      </c>
      <c r="AO29" s="3" t="s">
        <v>86</v>
      </c>
      <c r="AP29" s="3" t="s">
        <v>87</v>
      </c>
      <c r="AQ29" s="3">
        <v>46213</v>
      </c>
      <c r="AR29" s="3" t="s">
        <v>88</v>
      </c>
      <c r="AS29" s="3" t="s">
        <v>95</v>
      </c>
      <c r="AT29" s="3" t="s">
        <v>100</v>
      </c>
      <c r="AU29" s="3" t="s">
        <v>73</v>
      </c>
      <c r="AV29" s="3" t="s">
        <v>95</v>
      </c>
      <c r="AW29" s="3" t="s">
        <v>101</v>
      </c>
      <c r="AX29" s="3" t="s">
        <v>75</v>
      </c>
      <c r="AY29" s="3" t="s">
        <v>76</v>
      </c>
    </row>
    <row r="30" spans="1:51" ht="140">
      <c r="A30" t="s">
        <v>191</v>
      </c>
      <c r="B30" t="s">
        <v>192</v>
      </c>
      <c r="C30" t="s">
        <v>179</v>
      </c>
      <c r="D30" t="s">
        <v>54</v>
      </c>
      <c r="E30" t="s">
        <v>94</v>
      </c>
      <c r="F30" s="4">
        <v>37.062690000000003</v>
      </c>
      <c r="G30" s="4">
        <v>27.392199999999999</v>
      </c>
      <c r="H30" s="5">
        <v>4</v>
      </c>
      <c r="I30" t="s">
        <v>56</v>
      </c>
      <c r="J30" t="s">
        <v>57</v>
      </c>
      <c r="K30" t="s">
        <v>57</v>
      </c>
      <c r="L30" t="s">
        <v>71</v>
      </c>
      <c r="M30" t="s">
        <v>95</v>
      </c>
      <c r="N30" t="s">
        <v>71</v>
      </c>
      <c r="O30" t="s">
        <v>57</v>
      </c>
      <c r="P30" t="s">
        <v>57</v>
      </c>
      <c r="Q30" s="5"/>
      <c r="R30" s="5"/>
      <c r="S30" t="s">
        <v>58</v>
      </c>
      <c r="T30" t="s">
        <v>57</v>
      </c>
      <c r="U30" t="s">
        <v>104</v>
      </c>
      <c r="V30" t="s">
        <v>98</v>
      </c>
      <c r="W30" s="10"/>
      <c r="X30" t="s">
        <v>98</v>
      </c>
      <c r="Y30" t="s">
        <v>98</v>
      </c>
      <c r="Z30" t="s">
        <v>98</v>
      </c>
      <c r="AA30" t="s">
        <v>98</v>
      </c>
      <c r="AB30" t="s">
        <v>98</v>
      </c>
      <c r="AC30" t="s">
        <v>98</v>
      </c>
      <c r="AD30" t="s">
        <v>98</v>
      </c>
      <c r="AE30" t="s">
        <v>98</v>
      </c>
      <c r="AF30" t="s">
        <v>123</v>
      </c>
      <c r="AG30" t="s">
        <v>83</v>
      </c>
      <c r="AH30" s="3"/>
      <c r="AI30" s="3" t="s">
        <v>193</v>
      </c>
      <c r="AJ30" s="3" t="s">
        <v>65</v>
      </c>
      <c r="AK30" s="3" t="s">
        <v>62</v>
      </c>
      <c r="AL30" s="3" t="s">
        <v>62</v>
      </c>
      <c r="AM30" s="3" t="s">
        <v>85</v>
      </c>
      <c r="AN30" s="3" t="s">
        <v>67</v>
      </c>
      <c r="AO30" s="3" t="s">
        <v>86</v>
      </c>
      <c r="AP30" s="3" t="s">
        <v>87</v>
      </c>
      <c r="AQ30" s="3">
        <v>46213</v>
      </c>
      <c r="AR30" s="3" t="s">
        <v>88</v>
      </c>
      <c r="AS30" s="3" t="s">
        <v>95</v>
      </c>
      <c r="AT30" s="3" t="s">
        <v>100</v>
      </c>
      <c r="AU30" s="3" t="s">
        <v>73</v>
      </c>
      <c r="AV30" s="3" t="s">
        <v>95</v>
      </c>
      <c r="AW30" s="3" t="s">
        <v>101</v>
      </c>
      <c r="AX30" s="3" t="s">
        <v>75</v>
      </c>
      <c r="AY30" s="3" t="s">
        <v>76</v>
      </c>
    </row>
    <row r="31" spans="1:51" ht="140">
      <c r="A31" t="s">
        <v>194</v>
      </c>
      <c r="B31" t="s">
        <v>195</v>
      </c>
      <c r="C31" t="s">
        <v>179</v>
      </c>
      <c r="D31" t="s">
        <v>54</v>
      </c>
      <c r="E31" t="s">
        <v>94</v>
      </c>
      <c r="F31" s="4">
        <v>37.047220000000003</v>
      </c>
      <c r="G31" s="4">
        <v>27.36026</v>
      </c>
      <c r="H31" s="5">
        <v>3.5</v>
      </c>
      <c r="I31" t="s">
        <v>56</v>
      </c>
      <c r="J31" t="s">
        <v>57</v>
      </c>
      <c r="K31" t="s">
        <v>57</v>
      </c>
      <c r="L31" t="s">
        <v>71</v>
      </c>
      <c r="M31" t="s">
        <v>95</v>
      </c>
      <c r="N31" t="s">
        <v>71</v>
      </c>
      <c r="O31" t="s">
        <v>57</v>
      </c>
      <c r="P31" t="s">
        <v>57</v>
      </c>
      <c r="Q31" s="5"/>
      <c r="R31" s="5"/>
      <c r="S31" t="s">
        <v>113</v>
      </c>
      <c r="T31" t="s">
        <v>114</v>
      </c>
      <c r="U31" t="s">
        <v>115</v>
      </c>
      <c r="V31" t="s">
        <v>98</v>
      </c>
      <c r="W31" s="10"/>
      <c r="X31" t="s">
        <v>98</v>
      </c>
      <c r="Y31" t="s">
        <v>98</v>
      </c>
      <c r="Z31" t="s">
        <v>98</v>
      </c>
      <c r="AA31" t="s">
        <v>98</v>
      </c>
      <c r="AB31" t="s">
        <v>98</v>
      </c>
      <c r="AC31" t="s">
        <v>98</v>
      </c>
      <c r="AD31" t="s">
        <v>98</v>
      </c>
      <c r="AE31" t="s">
        <v>98</v>
      </c>
      <c r="AF31" t="s">
        <v>63</v>
      </c>
      <c r="AG31" t="s">
        <v>63</v>
      </c>
      <c r="AH31" s="3"/>
      <c r="AI31" s="3" t="s">
        <v>196</v>
      </c>
      <c r="AJ31" s="3" t="s">
        <v>65</v>
      </c>
      <c r="AK31" s="3" t="s">
        <v>62</v>
      </c>
      <c r="AL31" s="3" t="s">
        <v>62</v>
      </c>
      <c r="AM31" s="3" t="s">
        <v>85</v>
      </c>
      <c r="AN31" s="3" t="s">
        <v>67</v>
      </c>
      <c r="AO31" s="3" t="s">
        <v>86</v>
      </c>
      <c r="AP31" s="3" t="s">
        <v>87</v>
      </c>
      <c r="AQ31" s="3">
        <v>46213</v>
      </c>
      <c r="AR31" s="3" t="s">
        <v>88</v>
      </c>
      <c r="AS31" s="3" t="s">
        <v>95</v>
      </c>
      <c r="AT31" s="3" t="s">
        <v>100</v>
      </c>
      <c r="AU31" s="3" t="s">
        <v>73</v>
      </c>
      <c r="AV31" s="3" t="s">
        <v>95</v>
      </c>
      <c r="AW31" s="3" t="s">
        <v>101</v>
      </c>
      <c r="AX31" s="3" t="s">
        <v>75</v>
      </c>
      <c r="AY31" s="3" t="s">
        <v>76</v>
      </c>
    </row>
    <row r="32" spans="1:51" ht="140">
      <c r="A32" t="s">
        <v>197</v>
      </c>
      <c r="B32" t="s">
        <v>198</v>
      </c>
      <c r="C32" t="s">
        <v>179</v>
      </c>
      <c r="D32" t="s">
        <v>54</v>
      </c>
      <c r="E32" t="s">
        <v>94</v>
      </c>
      <c r="F32" s="4">
        <v>37.041400000000003</v>
      </c>
      <c r="G32" s="4">
        <v>27.396909999999998</v>
      </c>
      <c r="H32" s="5">
        <v>3.9</v>
      </c>
      <c r="I32" t="s">
        <v>56</v>
      </c>
      <c r="J32" t="s">
        <v>57</v>
      </c>
      <c r="K32" t="s">
        <v>57</v>
      </c>
      <c r="L32" t="s">
        <v>71</v>
      </c>
      <c r="M32" t="s">
        <v>95</v>
      </c>
      <c r="N32" t="s">
        <v>71</v>
      </c>
      <c r="O32" t="s">
        <v>71</v>
      </c>
      <c r="P32" t="s">
        <v>57</v>
      </c>
      <c r="Q32" s="5"/>
      <c r="R32" s="5"/>
      <c r="S32" t="s">
        <v>58</v>
      </c>
      <c r="T32" t="s">
        <v>57</v>
      </c>
      <c r="U32" t="s">
        <v>104</v>
      </c>
      <c r="V32" t="s">
        <v>98</v>
      </c>
      <c r="W32" s="10"/>
      <c r="X32" t="s">
        <v>98</v>
      </c>
      <c r="Y32" t="s">
        <v>98</v>
      </c>
      <c r="Z32" t="s">
        <v>98</v>
      </c>
      <c r="AA32" t="s">
        <v>98</v>
      </c>
      <c r="AB32" t="s">
        <v>98</v>
      </c>
      <c r="AC32" t="s">
        <v>98</v>
      </c>
      <c r="AD32" t="s">
        <v>98</v>
      </c>
      <c r="AE32" t="s">
        <v>98</v>
      </c>
      <c r="AF32" t="s">
        <v>63</v>
      </c>
      <c r="AG32" t="s">
        <v>63</v>
      </c>
      <c r="AH32" s="3"/>
      <c r="AI32" s="3" t="s">
        <v>199</v>
      </c>
      <c r="AJ32" s="3" t="s">
        <v>65</v>
      </c>
      <c r="AK32" s="3" t="s">
        <v>62</v>
      </c>
      <c r="AL32" s="3" t="s">
        <v>62</v>
      </c>
      <c r="AM32" s="3" t="s">
        <v>85</v>
      </c>
      <c r="AN32" s="3" t="s">
        <v>67</v>
      </c>
      <c r="AO32" s="3" t="s">
        <v>86</v>
      </c>
      <c r="AP32" s="3" t="s">
        <v>87</v>
      </c>
      <c r="AQ32" s="3">
        <v>46213</v>
      </c>
      <c r="AR32" s="3" t="s">
        <v>88</v>
      </c>
      <c r="AS32" s="3" t="s">
        <v>95</v>
      </c>
      <c r="AT32" s="3" t="s">
        <v>100</v>
      </c>
      <c r="AU32" s="3" t="s">
        <v>73</v>
      </c>
      <c r="AV32" s="3" t="s">
        <v>95</v>
      </c>
      <c r="AW32" s="3" t="s">
        <v>101</v>
      </c>
      <c r="AX32" s="3" t="s">
        <v>75</v>
      </c>
      <c r="AY32" s="3" t="s">
        <v>76</v>
      </c>
    </row>
    <row r="33" spans="1:51" ht="140">
      <c r="A33" t="s">
        <v>200</v>
      </c>
      <c r="B33" t="s">
        <v>201</v>
      </c>
      <c r="C33" t="s">
        <v>179</v>
      </c>
      <c r="D33" t="s">
        <v>54</v>
      </c>
      <c r="E33" t="s">
        <v>55</v>
      </c>
      <c r="F33" s="4">
        <v>37.003</v>
      </c>
      <c r="G33" s="4">
        <v>27.256</v>
      </c>
      <c r="H33" s="5">
        <v>4</v>
      </c>
      <c r="I33" t="s">
        <v>56</v>
      </c>
      <c r="J33" t="s">
        <v>56</v>
      </c>
      <c r="K33" t="s">
        <v>56</v>
      </c>
      <c r="L33" t="s">
        <v>56</v>
      </c>
      <c r="M33" t="s">
        <v>57</v>
      </c>
      <c r="N33" t="s">
        <v>56</v>
      </c>
      <c r="O33" t="s">
        <v>56</v>
      </c>
      <c r="P33" t="s">
        <v>56</v>
      </c>
      <c r="Q33" s="5"/>
      <c r="R33" s="5"/>
      <c r="S33" t="s">
        <v>58</v>
      </c>
      <c r="T33" t="s">
        <v>59</v>
      </c>
      <c r="U33" t="s">
        <v>60</v>
      </c>
      <c r="V33" t="s">
        <v>61</v>
      </c>
      <c r="W33" s="10"/>
      <c r="X33" t="s">
        <v>62</v>
      </c>
      <c r="Y33" t="s">
        <v>62</v>
      </c>
      <c r="Z33" t="s">
        <v>62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63</v>
      </c>
      <c r="AG33" t="s">
        <v>63</v>
      </c>
      <c r="AH33" s="3"/>
      <c r="AI33" s="3" t="s">
        <v>202</v>
      </c>
      <c r="AJ33" s="3" t="s">
        <v>65</v>
      </c>
      <c r="AK33" s="3" t="s">
        <v>62</v>
      </c>
      <c r="AL33" s="3" t="s">
        <v>62</v>
      </c>
      <c r="AM33" s="3" t="s">
        <v>66</v>
      </c>
      <c r="AN33" s="3" t="s">
        <v>67</v>
      </c>
      <c r="AO33" s="3" t="s">
        <v>68</v>
      </c>
      <c r="AP33" s="3" t="s">
        <v>69</v>
      </c>
      <c r="AQ33" s="3">
        <v>46213</v>
      </c>
      <c r="AR33" s="3" t="s">
        <v>70</v>
      </c>
      <c r="AS33" s="3" t="s">
        <v>71</v>
      </c>
      <c r="AT33" s="3" t="s">
        <v>72</v>
      </c>
      <c r="AU33" s="3" t="s">
        <v>73</v>
      </c>
      <c r="AV33" s="3" t="s">
        <v>71</v>
      </c>
      <c r="AW33" s="3" t="s">
        <v>74</v>
      </c>
      <c r="AX33" s="3" t="s">
        <v>75</v>
      </c>
      <c r="AY33" s="3" t="s">
        <v>76</v>
      </c>
    </row>
    <row r="34" spans="1:51" ht="140">
      <c r="A34" t="s">
        <v>203</v>
      </c>
      <c r="B34" t="s">
        <v>204</v>
      </c>
      <c r="C34" t="s">
        <v>179</v>
      </c>
      <c r="D34" t="s">
        <v>54</v>
      </c>
      <c r="E34" t="s">
        <v>94</v>
      </c>
      <c r="F34" s="4">
        <v>37.071249999999999</v>
      </c>
      <c r="G34" s="4">
        <v>27.372869999999999</v>
      </c>
      <c r="H34" s="5">
        <v>3.5</v>
      </c>
      <c r="I34" t="s">
        <v>56</v>
      </c>
      <c r="J34" t="s">
        <v>57</v>
      </c>
      <c r="K34" t="s">
        <v>57</v>
      </c>
      <c r="L34" t="s">
        <v>71</v>
      </c>
      <c r="M34" t="s">
        <v>95</v>
      </c>
      <c r="N34" t="s">
        <v>71</v>
      </c>
      <c r="O34" t="s">
        <v>57</v>
      </c>
      <c r="P34" t="s">
        <v>57</v>
      </c>
      <c r="Q34" s="5"/>
      <c r="R34" s="5"/>
      <c r="S34" t="s">
        <v>80</v>
      </c>
      <c r="T34" t="s">
        <v>57</v>
      </c>
      <c r="U34" t="s">
        <v>122</v>
      </c>
      <c r="V34" t="s">
        <v>98</v>
      </c>
      <c r="W34" s="10"/>
      <c r="X34" t="s">
        <v>98</v>
      </c>
      <c r="Y34" t="s">
        <v>98</v>
      </c>
      <c r="Z34" t="s">
        <v>98</v>
      </c>
      <c r="AA34" t="s">
        <v>98</v>
      </c>
      <c r="AB34" t="s">
        <v>98</v>
      </c>
      <c r="AC34" t="s">
        <v>98</v>
      </c>
      <c r="AD34" t="s">
        <v>98</v>
      </c>
      <c r="AE34" t="s">
        <v>98</v>
      </c>
      <c r="AF34" t="s">
        <v>63</v>
      </c>
      <c r="AG34" t="s">
        <v>63</v>
      </c>
      <c r="AH34" s="3"/>
      <c r="AI34" s="3" t="s">
        <v>205</v>
      </c>
      <c r="AJ34" s="3" t="s">
        <v>65</v>
      </c>
      <c r="AK34" s="3" t="s">
        <v>62</v>
      </c>
      <c r="AL34" s="3" t="s">
        <v>62</v>
      </c>
      <c r="AM34" s="3" t="s">
        <v>85</v>
      </c>
      <c r="AN34" s="3" t="s">
        <v>67</v>
      </c>
      <c r="AO34" s="3" t="s">
        <v>86</v>
      </c>
      <c r="AP34" s="3" t="s">
        <v>87</v>
      </c>
      <c r="AQ34" s="3">
        <v>46213</v>
      </c>
      <c r="AR34" s="3" t="s">
        <v>88</v>
      </c>
      <c r="AS34" s="3" t="s">
        <v>95</v>
      </c>
      <c r="AT34" s="3" t="s">
        <v>100</v>
      </c>
      <c r="AU34" s="3" t="s">
        <v>73</v>
      </c>
      <c r="AV34" s="3" t="s">
        <v>95</v>
      </c>
      <c r="AW34" s="3" t="s">
        <v>101</v>
      </c>
      <c r="AX34" s="3" t="s">
        <v>75</v>
      </c>
      <c r="AY34" s="3" t="s">
        <v>76</v>
      </c>
    </row>
    <row r="35" spans="1:51" ht="140">
      <c r="A35" t="s">
        <v>206</v>
      </c>
      <c r="B35" t="s">
        <v>207</v>
      </c>
      <c r="C35" t="s">
        <v>179</v>
      </c>
      <c r="D35" t="s">
        <v>54</v>
      </c>
      <c r="E35" t="s">
        <v>55</v>
      </c>
      <c r="F35" s="4">
        <v>37.104999999999997</v>
      </c>
      <c r="G35" s="4">
        <v>27.283999999999999</v>
      </c>
      <c r="H35" s="5">
        <v>4</v>
      </c>
      <c r="I35" t="s">
        <v>56</v>
      </c>
      <c r="J35" t="s">
        <v>56</v>
      </c>
      <c r="K35" t="s">
        <v>56</v>
      </c>
      <c r="L35" t="s">
        <v>56</v>
      </c>
      <c r="M35" t="s">
        <v>57</v>
      </c>
      <c r="N35" t="s">
        <v>56</v>
      </c>
      <c r="O35" t="s">
        <v>56</v>
      </c>
      <c r="P35" t="s">
        <v>56</v>
      </c>
      <c r="Q35" s="5"/>
      <c r="R35" s="5"/>
      <c r="S35" t="s">
        <v>140</v>
      </c>
      <c r="T35" t="s">
        <v>59</v>
      </c>
      <c r="U35" t="s">
        <v>60</v>
      </c>
      <c r="V35" t="s">
        <v>61</v>
      </c>
      <c r="W35" s="10"/>
      <c r="X35" t="s">
        <v>62</v>
      </c>
      <c r="Y35" t="s">
        <v>62</v>
      </c>
      <c r="Z35" t="s">
        <v>62</v>
      </c>
      <c r="AA35" t="s">
        <v>62</v>
      </c>
      <c r="AB35" t="s">
        <v>62</v>
      </c>
      <c r="AC35" t="s">
        <v>62</v>
      </c>
      <c r="AD35" t="s">
        <v>62</v>
      </c>
      <c r="AE35" t="s">
        <v>62</v>
      </c>
      <c r="AF35" t="s">
        <v>63</v>
      </c>
      <c r="AG35" t="s">
        <v>63</v>
      </c>
      <c r="AH35" s="3"/>
      <c r="AI35" s="3" t="s">
        <v>208</v>
      </c>
      <c r="AJ35" s="3" t="s">
        <v>65</v>
      </c>
      <c r="AK35" s="3" t="s">
        <v>62</v>
      </c>
      <c r="AL35" s="3" t="s">
        <v>62</v>
      </c>
      <c r="AM35" s="3" t="s">
        <v>66</v>
      </c>
      <c r="AN35" s="3" t="s">
        <v>67</v>
      </c>
      <c r="AO35" s="3" t="s">
        <v>68</v>
      </c>
      <c r="AP35" s="3" t="s">
        <v>69</v>
      </c>
      <c r="AQ35" s="3">
        <v>46213</v>
      </c>
      <c r="AR35" s="3" t="s">
        <v>70</v>
      </c>
      <c r="AS35" s="3" t="s">
        <v>71</v>
      </c>
      <c r="AT35" s="3" t="s">
        <v>72</v>
      </c>
      <c r="AU35" s="3" t="s">
        <v>73</v>
      </c>
      <c r="AV35" s="3" t="s">
        <v>71</v>
      </c>
      <c r="AW35" s="3" t="s">
        <v>74</v>
      </c>
      <c r="AX35" s="3" t="s">
        <v>75</v>
      </c>
      <c r="AY35" s="3" t="s">
        <v>76</v>
      </c>
    </row>
    <row r="36" spans="1:51" ht="140">
      <c r="A36" t="s">
        <v>209</v>
      </c>
      <c r="B36" t="s">
        <v>210</v>
      </c>
      <c r="C36" t="s">
        <v>179</v>
      </c>
      <c r="D36" t="s">
        <v>54</v>
      </c>
      <c r="E36" t="s">
        <v>94</v>
      </c>
      <c r="F36" s="4">
        <v>37.03049</v>
      </c>
      <c r="G36" s="4">
        <v>27.367270000000001</v>
      </c>
      <c r="H36" s="5">
        <v>3.4</v>
      </c>
      <c r="I36" t="s">
        <v>56</v>
      </c>
      <c r="J36" t="s">
        <v>57</v>
      </c>
      <c r="K36" t="s">
        <v>57</v>
      </c>
      <c r="L36" t="s">
        <v>71</v>
      </c>
      <c r="M36" t="s">
        <v>95</v>
      </c>
      <c r="N36" t="s">
        <v>71</v>
      </c>
      <c r="O36" t="s">
        <v>57</v>
      </c>
      <c r="P36" t="s">
        <v>57</v>
      </c>
      <c r="Q36" s="5"/>
      <c r="R36" s="5"/>
      <c r="S36" t="s">
        <v>96</v>
      </c>
      <c r="T36" t="s">
        <v>57</v>
      </c>
      <c r="U36" t="s">
        <v>97</v>
      </c>
      <c r="V36" t="s">
        <v>98</v>
      </c>
      <c r="W36" s="10"/>
      <c r="X36" t="s">
        <v>98</v>
      </c>
      <c r="Y36" t="s">
        <v>98</v>
      </c>
      <c r="Z36" t="s">
        <v>98</v>
      </c>
      <c r="AA36" t="s">
        <v>98</v>
      </c>
      <c r="AB36" t="s">
        <v>98</v>
      </c>
      <c r="AC36" t="s">
        <v>98</v>
      </c>
      <c r="AD36" t="s">
        <v>98</v>
      </c>
      <c r="AE36" t="s">
        <v>98</v>
      </c>
      <c r="AF36" t="s">
        <v>63</v>
      </c>
      <c r="AG36" t="s">
        <v>63</v>
      </c>
      <c r="AH36" s="3"/>
      <c r="AI36" s="3" t="s">
        <v>211</v>
      </c>
      <c r="AJ36" s="3" t="s">
        <v>65</v>
      </c>
      <c r="AK36" s="3" t="s">
        <v>62</v>
      </c>
      <c r="AL36" s="3" t="s">
        <v>62</v>
      </c>
      <c r="AM36" s="3" t="s">
        <v>85</v>
      </c>
      <c r="AN36" s="3" t="s">
        <v>67</v>
      </c>
      <c r="AO36" s="3" t="s">
        <v>86</v>
      </c>
      <c r="AP36" s="3" t="s">
        <v>87</v>
      </c>
      <c r="AQ36" s="3">
        <v>46213</v>
      </c>
      <c r="AR36" s="3" t="s">
        <v>88</v>
      </c>
      <c r="AS36" s="3" t="s">
        <v>95</v>
      </c>
      <c r="AT36" s="3" t="s">
        <v>100</v>
      </c>
      <c r="AU36" s="3" t="s">
        <v>73</v>
      </c>
      <c r="AV36" s="3" t="s">
        <v>95</v>
      </c>
      <c r="AW36" s="3" t="s">
        <v>101</v>
      </c>
      <c r="AX36" s="3" t="s">
        <v>75</v>
      </c>
      <c r="AY36" s="3" t="s">
        <v>76</v>
      </c>
    </row>
    <row r="37" spans="1:51" ht="140">
      <c r="A37" t="s">
        <v>212</v>
      </c>
      <c r="B37" t="s">
        <v>213</v>
      </c>
      <c r="C37" t="s">
        <v>179</v>
      </c>
      <c r="D37" t="s">
        <v>54</v>
      </c>
      <c r="E37" t="s">
        <v>94</v>
      </c>
      <c r="F37" s="4">
        <v>37.057519999999997</v>
      </c>
      <c r="G37" s="4">
        <v>27.405899999999999</v>
      </c>
      <c r="H37" s="5">
        <v>3.6</v>
      </c>
      <c r="I37" t="s">
        <v>56</v>
      </c>
      <c r="J37" t="s">
        <v>57</v>
      </c>
      <c r="K37" t="s">
        <v>57</v>
      </c>
      <c r="L37" t="s">
        <v>71</v>
      </c>
      <c r="M37" t="s">
        <v>95</v>
      </c>
      <c r="N37" t="s">
        <v>71</v>
      </c>
      <c r="O37" t="s">
        <v>57</v>
      </c>
      <c r="P37" t="s">
        <v>57</v>
      </c>
      <c r="Q37" s="5"/>
      <c r="R37" s="5"/>
      <c r="S37" t="s">
        <v>96</v>
      </c>
      <c r="T37" t="s">
        <v>57</v>
      </c>
      <c r="U37" t="s">
        <v>97</v>
      </c>
      <c r="V37" t="s">
        <v>98</v>
      </c>
      <c r="W37" s="10"/>
      <c r="X37" t="s">
        <v>98</v>
      </c>
      <c r="Y37" t="s">
        <v>98</v>
      </c>
      <c r="Z37" t="s">
        <v>98</v>
      </c>
      <c r="AA37" t="s">
        <v>98</v>
      </c>
      <c r="AB37" t="s">
        <v>98</v>
      </c>
      <c r="AC37" t="s">
        <v>98</v>
      </c>
      <c r="AD37" t="s">
        <v>98</v>
      </c>
      <c r="AE37" t="s">
        <v>98</v>
      </c>
      <c r="AF37" t="s">
        <v>63</v>
      </c>
      <c r="AG37" t="s">
        <v>63</v>
      </c>
      <c r="AH37" s="3"/>
      <c r="AI37" s="3" t="s">
        <v>214</v>
      </c>
      <c r="AJ37" s="3" t="s">
        <v>65</v>
      </c>
      <c r="AK37" s="3" t="s">
        <v>62</v>
      </c>
      <c r="AL37" s="3" t="s">
        <v>62</v>
      </c>
      <c r="AM37" s="3" t="s">
        <v>85</v>
      </c>
      <c r="AN37" s="3" t="s">
        <v>67</v>
      </c>
      <c r="AO37" s="3" t="s">
        <v>86</v>
      </c>
      <c r="AP37" s="3" t="s">
        <v>87</v>
      </c>
      <c r="AQ37" s="3">
        <v>46213</v>
      </c>
      <c r="AR37" s="3" t="s">
        <v>88</v>
      </c>
      <c r="AS37" s="3" t="s">
        <v>95</v>
      </c>
      <c r="AT37" s="3" t="s">
        <v>100</v>
      </c>
      <c r="AU37" s="3" t="s">
        <v>73</v>
      </c>
      <c r="AV37" s="3" t="s">
        <v>95</v>
      </c>
      <c r="AW37" s="3" t="s">
        <v>101</v>
      </c>
      <c r="AX37" s="3" t="s">
        <v>75</v>
      </c>
      <c r="AY37" s="3" t="s">
        <v>76</v>
      </c>
    </row>
    <row r="38" spans="1:51" ht="140">
      <c r="A38" t="s">
        <v>215</v>
      </c>
      <c r="B38" t="s">
        <v>129</v>
      </c>
      <c r="C38" t="s">
        <v>216</v>
      </c>
      <c r="D38" t="s">
        <v>54</v>
      </c>
      <c r="E38" t="s">
        <v>94</v>
      </c>
      <c r="F38" s="4">
        <v>36.950000000000003</v>
      </c>
      <c r="G38" s="4">
        <v>28.06251</v>
      </c>
      <c r="H38" s="5">
        <v>3.6</v>
      </c>
      <c r="I38" t="s">
        <v>57</v>
      </c>
      <c r="J38" t="s">
        <v>57</v>
      </c>
      <c r="K38" t="s">
        <v>56</v>
      </c>
      <c r="L38" t="s">
        <v>57</v>
      </c>
      <c r="M38" t="s">
        <v>57</v>
      </c>
      <c r="N38" t="s">
        <v>71</v>
      </c>
      <c r="O38" t="s">
        <v>95</v>
      </c>
      <c r="P38" t="s">
        <v>71</v>
      </c>
      <c r="Q38" s="5"/>
      <c r="R38" s="5"/>
      <c r="S38" t="s">
        <v>113</v>
      </c>
      <c r="T38" t="s">
        <v>114</v>
      </c>
      <c r="U38" t="s">
        <v>115</v>
      </c>
      <c r="V38" t="s">
        <v>98</v>
      </c>
      <c r="W38" s="10"/>
      <c r="X38" t="s">
        <v>98</v>
      </c>
      <c r="Y38" t="s">
        <v>98</v>
      </c>
      <c r="Z38" t="s">
        <v>98</v>
      </c>
      <c r="AA38" t="s">
        <v>98</v>
      </c>
      <c r="AB38" t="s">
        <v>98</v>
      </c>
      <c r="AC38" t="s">
        <v>98</v>
      </c>
      <c r="AD38" t="s">
        <v>98</v>
      </c>
      <c r="AE38" t="s">
        <v>98</v>
      </c>
      <c r="AF38" t="s">
        <v>123</v>
      </c>
      <c r="AG38" t="s">
        <v>83</v>
      </c>
      <c r="AH38" s="3"/>
      <c r="AI38" s="3" t="s">
        <v>217</v>
      </c>
      <c r="AJ38" s="3" t="s">
        <v>65</v>
      </c>
      <c r="AK38" s="3" t="s">
        <v>62</v>
      </c>
      <c r="AL38" s="3" t="s">
        <v>62</v>
      </c>
      <c r="AM38" s="3" t="s">
        <v>85</v>
      </c>
      <c r="AN38" s="3" t="s">
        <v>67</v>
      </c>
      <c r="AO38" s="3" t="s">
        <v>86</v>
      </c>
      <c r="AP38" s="3" t="s">
        <v>87</v>
      </c>
      <c r="AQ38" s="3">
        <v>46213</v>
      </c>
      <c r="AR38" s="3" t="s">
        <v>88</v>
      </c>
      <c r="AS38" s="3" t="s">
        <v>95</v>
      </c>
      <c r="AT38" s="3" t="s">
        <v>100</v>
      </c>
      <c r="AU38" s="3" t="s">
        <v>73</v>
      </c>
      <c r="AV38" s="3" t="s">
        <v>95</v>
      </c>
      <c r="AW38" s="3" t="s">
        <v>101</v>
      </c>
      <c r="AX38" s="3" t="s">
        <v>75</v>
      </c>
      <c r="AY38" s="3" t="s">
        <v>76</v>
      </c>
    </row>
    <row r="39" spans="1:51" ht="140">
      <c r="A39" t="s">
        <v>218</v>
      </c>
      <c r="B39" t="s">
        <v>219</v>
      </c>
      <c r="C39" t="s">
        <v>216</v>
      </c>
      <c r="D39" t="s">
        <v>54</v>
      </c>
      <c r="E39" t="s">
        <v>94</v>
      </c>
      <c r="F39" s="4">
        <v>36.956760000000003</v>
      </c>
      <c r="G39" s="4">
        <v>28.040769999999998</v>
      </c>
      <c r="H39" s="5">
        <v>3.8</v>
      </c>
      <c r="I39" t="s">
        <v>57</v>
      </c>
      <c r="J39" t="s">
        <v>57</v>
      </c>
      <c r="K39" t="s">
        <v>56</v>
      </c>
      <c r="L39" t="s">
        <v>57</v>
      </c>
      <c r="M39" t="s">
        <v>57</v>
      </c>
      <c r="N39" t="s">
        <v>71</v>
      </c>
      <c r="O39" t="s">
        <v>95</v>
      </c>
      <c r="P39" t="s">
        <v>71</v>
      </c>
      <c r="Q39" s="5"/>
      <c r="R39" s="5"/>
      <c r="S39" t="s">
        <v>58</v>
      </c>
      <c r="T39" t="s">
        <v>57</v>
      </c>
      <c r="U39" t="s">
        <v>104</v>
      </c>
      <c r="V39" t="s">
        <v>98</v>
      </c>
      <c r="W39" s="10"/>
      <c r="X39" t="s">
        <v>98</v>
      </c>
      <c r="Y39" t="s">
        <v>98</v>
      </c>
      <c r="Z39" t="s">
        <v>98</v>
      </c>
      <c r="AA39" t="s">
        <v>98</v>
      </c>
      <c r="AB39" t="s">
        <v>98</v>
      </c>
      <c r="AC39" t="s">
        <v>98</v>
      </c>
      <c r="AD39" t="s">
        <v>98</v>
      </c>
      <c r="AE39" t="s">
        <v>98</v>
      </c>
      <c r="AF39" t="s">
        <v>123</v>
      </c>
      <c r="AG39" t="s">
        <v>123</v>
      </c>
      <c r="AH39" s="3"/>
      <c r="AI39" s="3" t="s">
        <v>220</v>
      </c>
      <c r="AJ39" s="3" t="s">
        <v>65</v>
      </c>
      <c r="AK39" s="3" t="s">
        <v>62</v>
      </c>
      <c r="AL39" s="3" t="s">
        <v>62</v>
      </c>
      <c r="AM39" s="3" t="s">
        <v>85</v>
      </c>
      <c r="AN39" s="3" t="s">
        <v>67</v>
      </c>
      <c r="AO39" s="3" t="s">
        <v>86</v>
      </c>
      <c r="AP39" s="3" t="s">
        <v>87</v>
      </c>
      <c r="AQ39" s="3">
        <v>46213</v>
      </c>
      <c r="AR39" s="3" t="s">
        <v>88</v>
      </c>
      <c r="AS39" s="3" t="s">
        <v>95</v>
      </c>
      <c r="AT39" s="3" t="s">
        <v>100</v>
      </c>
      <c r="AU39" s="3" t="s">
        <v>73</v>
      </c>
      <c r="AV39" s="3" t="s">
        <v>95</v>
      </c>
      <c r="AW39" s="3" t="s">
        <v>101</v>
      </c>
      <c r="AX39" s="3" t="s">
        <v>75</v>
      </c>
      <c r="AY39" s="3" t="s">
        <v>76</v>
      </c>
    </row>
    <row r="40" spans="1:51" ht="140">
      <c r="A40" t="s">
        <v>221</v>
      </c>
      <c r="B40" t="s">
        <v>222</v>
      </c>
      <c r="C40" t="s">
        <v>216</v>
      </c>
      <c r="D40" t="s">
        <v>54</v>
      </c>
      <c r="E40" t="s">
        <v>94</v>
      </c>
      <c r="F40" s="4">
        <v>36.940040000000003</v>
      </c>
      <c r="G40" s="4">
        <v>28.051089999999999</v>
      </c>
      <c r="H40" s="5">
        <v>4</v>
      </c>
      <c r="I40" t="s">
        <v>57</v>
      </c>
      <c r="J40" t="s">
        <v>57</v>
      </c>
      <c r="K40" t="s">
        <v>56</v>
      </c>
      <c r="L40" t="s">
        <v>57</v>
      </c>
      <c r="M40" t="s">
        <v>57</v>
      </c>
      <c r="N40" t="s">
        <v>71</v>
      </c>
      <c r="O40" t="s">
        <v>95</v>
      </c>
      <c r="P40" t="s">
        <v>71</v>
      </c>
      <c r="Q40" s="5"/>
      <c r="R40" s="5"/>
      <c r="S40" t="s">
        <v>80</v>
      </c>
      <c r="T40" t="s">
        <v>57</v>
      </c>
      <c r="U40" t="s">
        <v>122</v>
      </c>
      <c r="V40" t="s">
        <v>98</v>
      </c>
      <c r="W40" s="10"/>
      <c r="X40" t="s">
        <v>98</v>
      </c>
      <c r="Y40" t="s">
        <v>98</v>
      </c>
      <c r="Z40" t="s">
        <v>98</v>
      </c>
      <c r="AA40" t="s">
        <v>98</v>
      </c>
      <c r="AB40" t="s">
        <v>98</v>
      </c>
      <c r="AC40" t="s">
        <v>98</v>
      </c>
      <c r="AD40" t="s">
        <v>98</v>
      </c>
      <c r="AE40" t="s">
        <v>98</v>
      </c>
      <c r="AF40" t="s">
        <v>123</v>
      </c>
      <c r="AG40" t="s">
        <v>123</v>
      </c>
      <c r="AH40" s="3"/>
      <c r="AI40" s="3" t="s">
        <v>223</v>
      </c>
      <c r="AJ40" s="3" t="s">
        <v>65</v>
      </c>
      <c r="AK40" s="3" t="s">
        <v>62</v>
      </c>
      <c r="AL40" s="3" t="s">
        <v>62</v>
      </c>
      <c r="AM40" s="3" t="s">
        <v>85</v>
      </c>
      <c r="AN40" s="3" t="s">
        <v>67</v>
      </c>
      <c r="AO40" s="3" t="s">
        <v>86</v>
      </c>
      <c r="AP40" s="3" t="s">
        <v>87</v>
      </c>
      <c r="AQ40" s="3">
        <v>46213</v>
      </c>
      <c r="AR40" s="3" t="s">
        <v>88</v>
      </c>
      <c r="AS40" s="3" t="s">
        <v>95</v>
      </c>
      <c r="AT40" s="3" t="s">
        <v>100</v>
      </c>
      <c r="AU40" s="3" t="s">
        <v>73</v>
      </c>
      <c r="AV40" s="3" t="s">
        <v>95</v>
      </c>
      <c r="AW40" s="3" t="s">
        <v>101</v>
      </c>
      <c r="AX40" s="3" t="s">
        <v>75</v>
      </c>
      <c r="AY40" s="3" t="s">
        <v>76</v>
      </c>
    </row>
    <row r="41" spans="1:51" ht="140">
      <c r="A41" t="s">
        <v>224</v>
      </c>
      <c r="B41" t="s">
        <v>225</v>
      </c>
      <c r="C41" t="s">
        <v>216</v>
      </c>
      <c r="D41" t="s">
        <v>54</v>
      </c>
      <c r="E41" t="s">
        <v>94</v>
      </c>
      <c r="F41" s="4">
        <v>36.962690000000002</v>
      </c>
      <c r="G41" s="4">
        <v>28.062190000000001</v>
      </c>
      <c r="H41" s="5">
        <v>3.9</v>
      </c>
      <c r="I41" t="s">
        <v>57</v>
      </c>
      <c r="J41" t="s">
        <v>57</v>
      </c>
      <c r="K41" t="s">
        <v>56</v>
      </c>
      <c r="L41" t="s">
        <v>57</v>
      </c>
      <c r="M41" t="s">
        <v>57</v>
      </c>
      <c r="N41" t="s">
        <v>71</v>
      </c>
      <c r="O41" t="s">
        <v>95</v>
      </c>
      <c r="P41" t="s">
        <v>71</v>
      </c>
      <c r="Q41" s="5"/>
      <c r="R41" s="5"/>
      <c r="S41" t="s">
        <v>58</v>
      </c>
      <c r="T41" t="s">
        <v>57</v>
      </c>
      <c r="U41" t="s">
        <v>104</v>
      </c>
      <c r="V41" t="s">
        <v>98</v>
      </c>
      <c r="W41" s="10"/>
      <c r="X41" t="s">
        <v>98</v>
      </c>
      <c r="Y41" t="s">
        <v>98</v>
      </c>
      <c r="Z41" t="s">
        <v>98</v>
      </c>
      <c r="AA41" t="s">
        <v>98</v>
      </c>
      <c r="AB41" t="s">
        <v>98</v>
      </c>
      <c r="AC41" t="s">
        <v>98</v>
      </c>
      <c r="AD41" t="s">
        <v>98</v>
      </c>
      <c r="AE41" t="s">
        <v>98</v>
      </c>
      <c r="AF41" t="s">
        <v>123</v>
      </c>
      <c r="AG41" t="s">
        <v>63</v>
      </c>
      <c r="AH41" s="3"/>
      <c r="AI41" s="3" t="s">
        <v>226</v>
      </c>
      <c r="AJ41" s="3" t="s">
        <v>65</v>
      </c>
      <c r="AK41" s="3" t="s">
        <v>62</v>
      </c>
      <c r="AL41" s="3" t="s">
        <v>62</v>
      </c>
      <c r="AM41" s="3" t="s">
        <v>85</v>
      </c>
      <c r="AN41" s="3" t="s">
        <v>67</v>
      </c>
      <c r="AO41" s="3" t="s">
        <v>86</v>
      </c>
      <c r="AP41" s="3" t="s">
        <v>87</v>
      </c>
      <c r="AQ41" s="3">
        <v>46213</v>
      </c>
      <c r="AR41" s="3" t="s">
        <v>88</v>
      </c>
      <c r="AS41" s="3" t="s">
        <v>95</v>
      </c>
      <c r="AT41" s="3" t="s">
        <v>100</v>
      </c>
      <c r="AU41" s="3" t="s">
        <v>73</v>
      </c>
      <c r="AV41" s="3" t="s">
        <v>95</v>
      </c>
      <c r="AW41" s="3" t="s">
        <v>101</v>
      </c>
      <c r="AX41" s="3" t="s">
        <v>75</v>
      </c>
      <c r="AY41" s="3" t="s">
        <v>76</v>
      </c>
    </row>
    <row r="42" spans="1:51" ht="140">
      <c r="A42" t="s">
        <v>227</v>
      </c>
      <c r="B42" t="s">
        <v>228</v>
      </c>
      <c r="C42" t="s">
        <v>216</v>
      </c>
      <c r="D42" t="s">
        <v>54</v>
      </c>
      <c r="E42" t="s">
        <v>94</v>
      </c>
      <c r="F42" s="4">
        <v>36.947220000000002</v>
      </c>
      <c r="G42" s="4">
        <v>28.030280000000001</v>
      </c>
      <c r="H42" s="5">
        <v>3.8</v>
      </c>
      <c r="I42" t="s">
        <v>57</v>
      </c>
      <c r="J42" t="s">
        <v>57</v>
      </c>
      <c r="K42" t="s">
        <v>56</v>
      </c>
      <c r="L42" t="s">
        <v>57</v>
      </c>
      <c r="M42" t="s">
        <v>57</v>
      </c>
      <c r="N42" t="s">
        <v>71</v>
      </c>
      <c r="O42" t="s">
        <v>95</v>
      </c>
      <c r="P42" t="s">
        <v>71</v>
      </c>
      <c r="Q42" s="5"/>
      <c r="R42" s="5"/>
      <c r="S42" t="s">
        <v>80</v>
      </c>
      <c r="T42" t="s">
        <v>57</v>
      </c>
      <c r="U42" t="s">
        <v>122</v>
      </c>
      <c r="V42" t="s">
        <v>98</v>
      </c>
      <c r="W42" s="10"/>
      <c r="X42" t="s">
        <v>98</v>
      </c>
      <c r="Y42" t="s">
        <v>98</v>
      </c>
      <c r="Z42" t="s">
        <v>98</v>
      </c>
      <c r="AA42" t="s">
        <v>98</v>
      </c>
      <c r="AB42" t="s">
        <v>98</v>
      </c>
      <c r="AC42" t="s">
        <v>98</v>
      </c>
      <c r="AD42" t="s">
        <v>98</v>
      </c>
      <c r="AE42" t="s">
        <v>98</v>
      </c>
      <c r="AF42" t="s">
        <v>63</v>
      </c>
      <c r="AG42" t="s">
        <v>63</v>
      </c>
      <c r="AH42" s="3"/>
      <c r="AI42" s="3" t="s">
        <v>229</v>
      </c>
      <c r="AJ42" s="3" t="s">
        <v>65</v>
      </c>
      <c r="AK42" s="3" t="s">
        <v>62</v>
      </c>
      <c r="AL42" s="3" t="s">
        <v>62</v>
      </c>
      <c r="AM42" s="3" t="s">
        <v>85</v>
      </c>
      <c r="AN42" s="3" t="s">
        <v>67</v>
      </c>
      <c r="AO42" s="3" t="s">
        <v>86</v>
      </c>
      <c r="AP42" s="3" t="s">
        <v>87</v>
      </c>
      <c r="AQ42" s="3">
        <v>46213</v>
      </c>
      <c r="AR42" s="3" t="s">
        <v>88</v>
      </c>
      <c r="AS42" s="3" t="s">
        <v>95</v>
      </c>
      <c r="AT42" s="3" t="s">
        <v>100</v>
      </c>
      <c r="AU42" s="3" t="s">
        <v>73</v>
      </c>
      <c r="AV42" s="3" t="s">
        <v>95</v>
      </c>
      <c r="AW42" s="3" t="s">
        <v>101</v>
      </c>
      <c r="AX42" s="3" t="s">
        <v>75</v>
      </c>
      <c r="AY42" s="3" t="s">
        <v>76</v>
      </c>
    </row>
    <row r="43" spans="1:51" ht="140">
      <c r="A43" t="s">
        <v>230</v>
      </c>
      <c r="B43" t="s">
        <v>231</v>
      </c>
      <c r="C43" t="s">
        <v>216</v>
      </c>
      <c r="D43" t="s">
        <v>54</v>
      </c>
      <c r="E43" t="s">
        <v>94</v>
      </c>
      <c r="F43" s="4">
        <v>36.941400000000002</v>
      </c>
      <c r="G43" s="4">
        <v>28.066890000000001</v>
      </c>
      <c r="H43" s="5">
        <v>4.2</v>
      </c>
      <c r="I43" t="s">
        <v>57</v>
      </c>
      <c r="J43" t="s">
        <v>57</v>
      </c>
      <c r="K43" t="s">
        <v>56</v>
      </c>
      <c r="L43" t="s">
        <v>57</v>
      </c>
      <c r="M43" t="s">
        <v>57</v>
      </c>
      <c r="N43" t="s">
        <v>71</v>
      </c>
      <c r="O43" t="s">
        <v>95</v>
      </c>
      <c r="P43" t="s">
        <v>71</v>
      </c>
      <c r="Q43" s="5"/>
      <c r="R43" s="5"/>
      <c r="S43" t="s">
        <v>113</v>
      </c>
      <c r="T43" t="s">
        <v>114</v>
      </c>
      <c r="U43" t="s">
        <v>115</v>
      </c>
      <c r="V43" t="s">
        <v>98</v>
      </c>
      <c r="W43" s="10"/>
      <c r="X43" t="s">
        <v>98</v>
      </c>
      <c r="Y43" t="s">
        <v>98</v>
      </c>
      <c r="Z43" t="s">
        <v>98</v>
      </c>
      <c r="AA43" t="s">
        <v>98</v>
      </c>
      <c r="AB43" t="s">
        <v>98</v>
      </c>
      <c r="AC43" t="s">
        <v>98</v>
      </c>
      <c r="AD43" t="s">
        <v>98</v>
      </c>
      <c r="AE43" t="s">
        <v>98</v>
      </c>
      <c r="AF43" t="s">
        <v>63</v>
      </c>
      <c r="AG43" t="s">
        <v>63</v>
      </c>
      <c r="AH43" s="3"/>
      <c r="AI43" s="3" t="s">
        <v>232</v>
      </c>
      <c r="AJ43" s="3" t="s">
        <v>65</v>
      </c>
      <c r="AK43" s="3" t="s">
        <v>62</v>
      </c>
      <c r="AL43" s="3" t="s">
        <v>62</v>
      </c>
      <c r="AM43" s="3" t="s">
        <v>85</v>
      </c>
      <c r="AN43" s="3" t="s">
        <v>67</v>
      </c>
      <c r="AO43" s="3" t="s">
        <v>86</v>
      </c>
      <c r="AP43" s="3" t="s">
        <v>87</v>
      </c>
      <c r="AQ43" s="3">
        <v>46213</v>
      </c>
      <c r="AR43" s="3" t="s">
        <v>88</v>
      </c>
      <c r="AS43" s="3" t="s">
        <v>95</v>
      </c>
      <c r="AT43" s="3" t="s">
        <v>100</v>
      </c>
      <c r="AU43" s="3" t="s">
        <v>73</v>
      </c>
      <c r="AV43" s="3" t="s">
        <v>95</v>
      </c>
      <c r="AW43" s="3" t="s">
        <v>101</v>
      </c>
      <c r="AX43" s="3" t="s">
        <v>75</v>
      </c>
      <c r="AY43" s="3" t="s">
        <v>76</v>
      </c>
    </row>
    <row r="44" spans="1:51" ht="140">
      <c r="A44" t="s">
        <v>233</v>
      </c>
      <c r="B44" t="s">
        <v>234</v>
      </c>
      <c r="C44" t="s">
        <v>216</v>
      </c>
      <c r="D44" t="s">
        <v>54</v>
      </c>
      <c r="E44" t="s">
        <v>79</v>
      </c>
      <c r="F44" s="4">
        <v>36.971249999999998</v>
      </c>
      <c r="G44" s="4">
        <v>28.042870000000001</v>
      </c>
      <c r="H44" s="5">
        <v>3.2</v>
      </c>
      <c r="I44" t="s">
        <v>57</v>
      </c>
      <c r="J44" t="s">
        <v>57</v>
      </c>
      <c r="K44" t="s">
        <v>57</v>
      </c>
      <c r="L44" t="s">
        <v>57</v>
      </c>
      <c r="M44" t="s">
        <v>57</v>
      </c>
      <c r="N44" t="s">
        <v>71</v>
      </c>
      <c r="O44" t="s">
        <v>71</v>
      </c>
      <c r="P44" t="s">
        <v>71</v>
      </c>
      <c r="Q44" s="5"/>
      <c r="R44" s="5"/>
      <c r="S44" t="s">
        <v>58</v>
      </c>
      <c r="T44" t="s">
        <v>81</v>
      </c>
      <c r="U44" t="s">
        <v>175</v>
      </c>
      <c r="V44" t="s">
        <v>98</v>
      </c>
      <c r="W44" s="10"/>
      <c r="X44" t="s">
        <v>62</v>
      </c>
      <c r="Y44" t="s">
        <v>62</v>
      </c>
      <c r="Z44" t="s">
        <v>62</v>
      </c>
      <c r="AA44" t="s">
        <v>62</v>
      </c>
      <c r="AB44" t="s">
        <v>62</v>
      </c>
      <c r="AC44" t="s">
        <v>62</v>
      </c>
      <c r="AD44" t="s">
        <v>62</v>
      </c>
      <c r="AE44" t="s">
        <v>62</v>
      </c>
      <c r="AF44" t="s">
        <v>123</v>
      </c>
      <c r="AG44" t="s">
        <v>123</v>
      </c>
      <c r="AH44" s="3"/>
      <c r="AI44" s="3" t="s">
        <v>235</v>
      </c>
      <c r="AJ44" s="3" t="s">
        <v>65</v>
      </c>
      <c r="AK44" s="3" t="s">
        <v>62</v>
      </c>
      <c r="AL44" s="3" t="s">
        <v>62</v>
      </c>
      <c r="AM44" s="3" t="s">
        <v>85</v>
      </c>
      <c r="AN44" s="3" t="s">
        <v>67</v>
      </c>
      <c r="AO44" s="3" t="s">
        <v>86</v>
      </c>
      <c r="AP44" s="3" t="s">
        <v>87</v>
      </c>
      <c r="AQ44" s="3">
        <v>46213</v>
      </c>
      <c r="AR44" s="3" t="s">
        <v>88</v>
      </c>
      <c r="AS44" s="3" t="s">
        <v>89</v>
      </c>
      <c r="AT44" s="3" t="s">
        <v>90</v>
      </c>
      <c r="AU44" s="3" t="s">
        <v>73</v>
      </c>
      <c r="AV44" s="3" t="s">
        <v>89</v>
      </c>
      <c r="AW44" s="3" t="s">
        <v>91</v>
      </c>
      <c r="AX44" s="3" t="s">
        <v>75</v>
      </c>
      <c r="AY44" s="3" t="s">
        <v>76</v>
      </c>
    </row>
    <row r="45" spans="1:51" ht="140">
      <c r="A45" t="s">
        <v>236</v>
      </c>
      <c r="B45" t="s">
        <v>237</v>
      </c>
      <c r="C45" t="s">
        <v>216</v>
      </c>
      <c r="D45" t="s">
        <v>54</v>
      </c>
      <c r="E45" t="s">
        <v>94</v>
      </c>
      <c r="F45" s="4">
        <v>36.930489999999999</v>
      </c>
      <c r="G45" s="4">
        <v>28.037289999999999</v>
      </c>
      <c r="H45" s="5">
        <v>3.9</v>
      </c>
      <c r="I45" t="s">
        <v>57</v>
      </c>
      <c r="J45" t="s">
        <v>57</v>
      </c>
      <c r="K45" t="s">
        <v>56</v>
      </c>
      <c r="L45" t="s">
        <v>57</v>
      </c>
      <c r="M45" t="s">
        <v>57</v>
      </c>
      <c r="N45" t="s">
        <v>71</v>
      </c>
      <c r="O45" t="s">
        <v>95</v>
      </c>
      <c r="P45" t="s">
        <v>71</v>
      </c>
      <c r="Q45" s="5"/>
      <c r="R45" s="5"/>
      <c r="S45" t="s">
        <v>113</v>
      </c>
      <c r="T45" t="s">
        <v>114</v>
      </c>
      <c r="U45" t="s">
        <v>115</v>
      </c>
      <c r="V45" t="s">
        <v>98</v>
      </c>
      <c r="W45" s="10"/>
      <c r="X45" t="s">
        <v>98</v>
      </c>
      <c r="Y45" t="s">
        <v>98</v>
      </c>
      <c r="Z45" t="s">
        <v>98</v>
      </c>
      <c r="AA45" t="s">
        <v>98</v>
      </c>
      <c r="AB45" t="s">
        <v>98</v>
      </c>
      <c r="AC45" t="s">
        <v>98</v>
      </c>
      <c r="AD45" t="s">
        <v>98</v>
      </c>
      <c r="AE45" t="s">
        <v>98</v>
      </c>
      <c r="AF45" t="s">
        <v>123</v>
      </c>
      <c r="AG45" t="s">
        <v>123</v>
      </c>
      <c r="AH45" s="3"/>
      <c r="AI45" s="3" t="s">
        <v>238</v>
      </c>
      <c r="AJ45" s="3" t="s">
        <v>65</v>
      </c>
      <c r="AK45" s="3" t="s">
        <v>62</v>
      </c>
      <c r="AL45" s="3" t="s">
        <v>62</v>
      </c>
      <c r="AM45" s="3" t="s">
        <v>85</v>
      </c>
      <c r="AN45" s="3" t="s">
        <v>67</v>
      </c>
      <c r="AO45" s="3" t="s">
        <v>86</v>
      </c>
      <c r="AP45" s="3" t="s">
        <v>87</v>
      </c>
      <c r="AQ45" s="3">
        <v>46213</v>
      </c>
      <c r="AR45" s="3" t="s">
        <v>88</v>
      </c>
      <c r="AS45" s="3" t="s">
        <v>95</v>
      </c>
      <c r="AT45" s="3" t="s">
        <v>100</v>
      </c>
      <c r="AU45" s="3" t="s">
        <v>73</v>
      </c>
      <c r="AV45" s="3" t="s">
        <v>95</v>
      </c>
      <c r="AW45" s="3" t="s">
        <v>101</v>
      </c>
      <c r="AX45" s="3" t="s">
        <v>75</v>
      </c>
      <c r="AY45" s="3" t="s">
        <v>76</v>
      </c>
    </row>
    <row r="46" spans="1:51" ht="140">
      <c r="A46" t="s">
        <v>239</v>
      </c>
      <c r="B46" t="s">
        <v>240</v>
      </c>
      <c r="C46" t="s">
        <v>216</v>
      </c>
      <c r="D46" t="s">
        <v>54</v>
      </c>
      <c r="E46" t="s">
        <v>94</v>
      </c>
      <c r="F46" s="4">
        <v>36.957520000000002</v>
      </c>
      <c r="G46" s="4">
        <v>28.075869999999998</v>
      </c>
      <c r="H46" s="5">
        <v>3.5</v>
      </c>
      <c r="I46" t="s">
        <v>57</v>
      </c>
      <c r="J46" t="s">
        <v>57</v>
      </c>
      <c r="K46" t="s">
        <v>56</v>
      </c>
      <c r="L46" t="s">
        <v>57</v>
      </c>
      <c r="M46" t="s">
        <v>57</v>
      </c>
      <c r="N46" t="s">
        <v>71</v>
      </c>
      <c r="O46" t="s">
        <v>95</v>
      </c>
      <c r="P46" t="s">
        <v>71</v>
      </c>
      <c r="Q46" s="5"/>
      <c r="R46" s="5"/>
      <c r="S46" t="s">
        <v>58</v>
      </c>
      <c r="T46" t="s">
        <v>57</v>
      </c>
      <c r="U46" t="s">
        <v>104</v>
      </c>
      <c r="V46" t="s">
        <v>98</v>
      </c>
      <c r="W46" s="10"/>
      <c r="X46" t="s">
        <v>98</v>
      </c>
      <c r="Y46" t="s">
        <v>98</v>
      </c>
      <c r="Z46" t="s">
        <v>98</v>
      </c>
      <c r="AA46" t="s">
        <v>98</v>
      </c>
      <c r="AB46" t="s">
        <v>98</v>
      </c>
      <c r="AC46" t="s">
        <v>98</v>
      </c>
      <c r="AD46" t="s">
        <v>98</v>
      </c>
      <c r="AE46" t="s">
        <v>98</v>
      </c>
      <c r="AF46" t="s">
        <v>123</v>
      </c>
      <c r="AG46" t="s">
        <v>123</v>
      </c>
      <c r="AH46" s="3"/>
      <c r="AI46" s="3" t="s">
        <v>241</v>
      </c>
      <c r="AJ46" s="3" t="s">
        <v>65</v>
      </c>
      <c r="AK46" s="3" t="s">
        <v>62</v>
      </c>
      <c r="AL46" s="3" t="s">
        <v>62</v>
      </c>
      <c r="AM46" s="3" t="s">
        <v>85</v>
      </c>
      <c r="AN46" s="3" t="s">
        <v>67</v>
      </c>
      <c r="AO46" s="3" t="s">
        <v>86</v>
      </c>
      <c r="AP46" s="3" t="s">
        <v>87</v>
      </c>
      <c r="AQ46" s="3">
        <v>46213</v>
      </c>
      <c r="AR46" s="3" t="s">
        <v>88</v>
      </c>
      <c r="AS46" s="3" t="s">
        <v>95</v>
      </c>
      <c r="AT46" s="3" t="s">
        <v>100</v>
      </c>
      <c r="AU46" s="3" t="s">
        <v>73</v>
      </c>
      <c r="AV46" s="3" t="s">
        <v>95</v>
      </c>
      <c r="AW46" s="3" t="s">
        <v>101</v>
      </c>
      <c r="AX46" s="3" t="s">
        <v>75</v>
      </c>
      <c r="AY46" s="3" t="s">
        <v>76</v>
      </c>
    </row>
    <row r="47" spans="1:51" ht="140">
      <c r="A47" t="s">
        <v>242</v>
      </c>
      <c r="B47" t="s">
        <v>243</v>
      </c>
      <c r="C47" t="s">
        <v>216</v>
      </c>
      <c r="D47" t="s">
        <v>54</v>
      </c>
      <c r="E47" t="s">
        <v>94</v>
      </c>
      <c r="F47" s="4">
        <v>36.960720000000002</v>
      </c>
      <c r="G47" s="4">
        <v>28.01763</v>
      </c>
      <c r="H47" s="5">
        <v>3.6</v>
      </c>
      <c r="I47" t="s">
        <v>71</v>
      </c>
      <c r="J47" t="s">
        <v>57</v>
      </c>
      <c r="K47" t="s">
        <v>56</v>
      </c>
      <c r="L47" t="s">
        <v>57</v>
      </c>
      <c r="M47" t="s">
        <v>57</v>
      </c>
      <c r="N47" t="s">
        <v>71</v>
      </c>
      <c r="O47" t="s">
        <v>95</v>
      </c>
      <c r="P47" t="s">
        <v>71</v>
      </c>
      <c r="Q47" s="5"/>
      <c r="R47" s="5"/>
      <c r="S47" t="s">
        <v>58</v>
      </c>
      <c r="T47" t="s">
        <v>57</v>
      </c>
      <c r="U47" t="s">
        <v>104</v>
      </c>
      <c r="V47" t="s">
        <v>98</v>
      </c>
      <c r="W47" s="10"/>
      <c r="X47" t="s">
        <v>98</v>
      </c>
      <c r="Y47" t="s">
        <v>98</v>
      </c>
      <c r="Z47" t="s">
        <v>98</v>
      </c>
      <c r="AA47" t="s">
        <v>98</v>
      </c>
      <c r="AB47" t="s">
        <v>98</v>
      </c>
      <c r="AC47" t="s">
        <v>98</v>
      </c>
      <c r="AD47" t="s">
        <v>98</v>
      </c>
      <c r="AE47" t="s">
        <v>98</v>
      </c>
      <c r="AF47" t="s">
        <v>123</v>
      </c>
      <c r="AG47" t="s">
        <v>123</v>
      </c>
      <c r="AH47" s="3"/>
      <c r="AI47" s="3" t="s">
        <v>244</v>
      </c>
      <c r="AJ47" s="3" t="s">
        <v>65</v>
      </c>
      <c r="AK47" s="3" t="s">
        <v>62</v>
      </c>
      <c r="AL47" s="3" t="s">
        <v>62</v>
      </c>
      <c r="AM47" s="3" t="s">
        <v>85</v>
      </c>
      <c r="AN47" s="3" t="s">
        <v>67</v>
      </c>
      <c r="AO47" s="3" t="s">
        <v>86</v>
      </c>
      <c r="AP47" s="3" t="s">
        <v>87</v>
      </c>
      <c r="AQ47" s="3">
        <v>46213</v>
      </c>
      <c r="AR47" s="3" t="s">
        <v>88</v>
      </c>
      <c r="AS47" s="3" t="s">
        <v>95</v>
      </c>
      <c r="AT47" s="3" t="s">
        <v>100</v>
      </c>
      <c r="AU47" s="3" t="s">
        <v>73</v>
      </c>
      <c r="AV47" s="3" t="s">
        <v>95</v>
      </c>
      <c r="AW47" s="3" t="s">
        <v>101</v>
      </c>
      <c r="AX47" s="3" t="s">
        <v>75</v>
      </c>
      <c r="AY47" s="3" t="s">
        <v>76</v>
      </c>
    </row>
    <row r="48" spans="1:51" ht="140">
      <c r="A48" t="s">
        <v>245</v>
      </c>
      <c r="B48" t="s">
        <v>246</v>
      </c>
      <c r="C48" t="s">
        <v>216</v>
      </c>
      <c r="D48" t="s">
        <v>54</v>
      </c>
      <c r="E48" t="s">
        <v>94</v>
      </c>
      <c r="F48" s="4">
        <v>36.924619999999997</v>
      </c>
      <c r="G48" s="4">
        <v>28.064810000000001</v>
      </c>
      <c r="H48" s="5">
        <v>3.4</v>
      </c>
      <c r="I48" t="s">
        <v>71</v>
      </c>
      <c r="J48" t="s">
        <v>57</v>
      </c>
      <c r="K48" t="s">
        <v>56</v>
      </c>
      <c r="L48" t="s">
        <v>57</v>
      </c>
      <c r="M48" t="s">
        <v>57</v>
      </c>
      <c r="N48" t="s">
        <v>71</v>
      </c>
      <c r="O48" t="s">
        <v>95</v>
      </c>
      <c r="P48" t="s">
        <v>71</v>
      </c>
      <c r="Q48" s="5"/>
      <c r="R48" s="5"/>
      <c r="S48" t="s">
        <v>113</v>
      </c>
      <c r="T48" t="s">
        <v>114</v>
      </c>
      <c r="U48" t="s">
        <v>115</v>
      </c>
      <c r="V48" t="s">
        <v>98</v>
      </c>
      <c r="W48" s="10"/>
      <c r="X48" t="s">
        <v>98</v>
      </c>
      <c r="Y48" t="s">
        <v>98</v>
      </c>
      <c r="Z48" t="s">
        <v>98</v>
      </c>
      <c r="AA48" t="s">
        <v>98</v>
      </c>
      <c r="AB48" t="s">
        <v>98</v>
      </c>
      <c r="AC48" t="s">
        <v>98</v>
      </c>
      <c r="AD48" t="s">
        <v>98</v>
      </c>
      <c r="AE48" t="s">
        <v>98</v>
      </c>
      <c r="AF48" t="s">
        <v>63</v>
      </c>
      <c r="AG48" t="s">
        <v>63</v>
      </c>
      <c r="AH48" s="3"/>
      <c r="AI48" s="3" t="s">
        <v>247</v>
      </c>
      <c r="AJ48" s="3" t="s">
        <v>65</v>
      </c>
      <c r="AK48" s="3" t="s">
        <v>62</v>
      </c>
      <c r="AL48" s="3" t="s">
        <v>62</v>
      </c>
      <c r="AM48" s="3" t="s">
        <v>85</v>
      </c>
      <c r="AN48" s="3" t="s">
        <v>67</v>
      </c>
      <c r="AO48" s="3" t="s">
        <v>86</v>
      </c>
      <c r="AP48" s="3" t="s">
        <v>87</v>
      </c>
      <c r="AQ48" s="3">
        <v>46213</v>
      </c>
      <c r="AR48" s="3" t="s">
        <v>88</v>
      </c>
      <c r="AS48" s="3" t="s">
        <v>95</v>
      </c>
      <c r="AT48" s="3" t="s">
        <v>100</v>
      </c>
      <c r="AU48" s="3" t="s">
        <v>73</v>
      </c>
      <c r="AV48" s="3" t="s">
        <v>95</v>
      </c>
      <c r="AW48" s="3" t="s">
        <v>101</v>
      </c>
      <c r="AX48" s="3" t="s">
        <v>75</v>
      </c>
      <c r="AY48" s="3" t="s">
        <v>76</v>
      </c>
    </row>
    <row r="49" spans="1:51" ht="140">
      <c r="A49" t="s">
        <v>248</v>
      </c>
      <c r="B49" t="s">
        <v>249</v>
      </c>
      <c r="C49" t="s">
        <v>216</v>
      </c>
      <c r="D49" t="s">
        <v>54</v>
      </c>
      <c r="E49" t="s">
        <v>94</v>
      </c>
      <c r="F49" s="4">
        <v>36.976700000000001</v>
      </c>
      <c r="G49" s="4">
        <v>28.06054</v>
      </c>
      <c r="H49" s="5">
        <v>4</v>
      </c>
      <c r="I49" t="s">
        <v>57</v>
      </c>
      <c r="J49" t="s">
        <v>57</v>
      </c>
      <c r="K49" t="s">
        <v>56</v>
      </c>
      <c r="L49" t="s">
        <v>57</v>
      </c>
      <c r="M49" t="s">
        <v>57</v>
      </c>
      <c r="N49" t="s">
        <v>71</v>
      </c>
      <c r="O49" t="s">
        <v>95</v>
      </c>
      <c r="P49" t="s">
        <v>71</v>
      </c>
      <c r="Q49" s="5"/>
      <c r="R49" s="5"/>
      <c r="S49" t="s">
        <v>113</v>
      </c>
      <c r="T49" t="s">
        <v>114</v>
      </c>
      <c r="U49" t="s">
        <v>115</v>
      </c>
      <c r="V49" t="s">
        <v>98</v>
      </c>
      <c r="W49" s="10"/>
      <c r="X49" t="s">
        <v>98</v>
      </c>
      <c r="Y49" t="s">
        <v>98</v>
      </c>
      <c r="Z49" t="s">
        <v>98</v>
      </c>
      <c r="AA49" t="s">
        <v>98</v>
      </c>
      <c r="AB49" t="s">
        <v>98</v>
      </c>
      <c r="AC49" t="s">
        <v>98</v>
      </c>
      <c r="AD49" t="s">
        <v>98</v>
      </c>
      <c r="AE49" t="s">
        <v>98</v>
      </c>
      <c r="AF49" t="s">
        <v>123</v>
      </c>
      <c r="AG49" t="s">
        <v>63</v>
      </c>
      <c r="AH49" s="3"/>
      <c r="AI49" s="3" t="s">
        <v>250</v>
      </c>
      <c r="AJ49" s="3" t="s">
        <v>65</v>
      </c>
      <c r="AK49" s="3" t="s">
        <v>62</v>
      </c>
      <c r="AL49" s="3" t="s">
        <v>62</v>
      </c>
      <c r="AM49" s="3" t="s">
        <v>85</v>
      </c>
      <c r="AN49" s="3" t="s">
        <v>67</v>
      </c>
      <c r="AO49" s="3" t="s">
        <v>86</v>
      </c>
      <c r="AP49" s="3" t="s">
        <v>87</v>
      </c>
      <c r="AQ49" s="3">
        <v>46213</v>
      </c>
      <c r="AR49" s="3" t="s">
        <v>88</v>
      </c>
      <c r="AS49" s="3" t="s">
        <v>95</v>
      </c>
      <c r="AT49" s="3" t="s">
        <v>100</v>
      </c>
      <c r="AU49" s="3" t="s">
        <v>73</v>
      </c>
      <c r="AV49" s="3" t="s">
        <v>95</v>
      </c>
      <c r="AW49" s="3" t="s">
        <v>101</v>
      </c>
      <c r="AX49" s="3" t="s">
        <v>75</v>
      </c>
      <c r="AY49" s="3" t="s">
        <v>76</v>
      </c>
    </row>
    <row r="50" spans="1:51" ht="140">
      <c r="A50" t="s">
        <v>251</v>
      </c>
      <c r="B50" t="s">
        <v>252</v>
      </c>
      <c r="C50" t="s">
        <v>253</v>
      </c>
      <c r="D50" t="s">
        <v>54</v>
      </c>
      <c r="E50" t="s">
        <v>79</v>
      </c>
      <c r="F50" s="4">
        <v>36.728000000000002</v>
      </c>
      <c r="G50" s="4">
        <v>27.690999999999999</v>
      </c>
      <c r="H50" s="5">
        <v>3.6</v>
      </c>
      <c r="I50" t="s">
        <v>57</v>
      </c>
      <c r="J50" t="s">
        <v>57</v>
      </c>
      <c r="K50" t="s">
        <v>57</v>
      </c>
      <c r="L50" t="s">
        <v>71</v>
      </c>
      <c r="M50" t="s">
        <v>71</v>
      </c>
      <c r="N50" t="s">
        <v>71</v>
      </c>
      <c r="O50" t="s">
        <v>57</v>
      </c>
      <c r="P50" t="s">
        <v>57</v>
      </c>
      <c r="Q50" s="5"/>
      <c r="R50" s="5"/>
      <c r="S50" t="s">
        <v>58</v>
      </c>
      <c r="T50" t="s">
        <v>81</v>
      </c>
      <c r="U50" t="s">
        <v>175</v>
      </c>
      <c r="V50" t="s">
        <v>83</v>
      </c>
      <c r="W50" s="10"/>
      <c r="X50" t="s">
        <v>62</v>
      </c>
      <c r="Y50" t="s">
        <v>62</v>
      </c>
      <c r="Z50" t="s">
        <v>62</v>
      </c>
      <c r="AA50" t="s">
        <v>62</v>
      </c>
      <c r="AB50" t="s">
        <v>62</v>
      </c>
      <c r="AC50" t="s">
        <v>62</v>
      </c>
      <c r="AD50" t="s">
        <v>62</v>
      </c>
      <c r="AE50" t="s">
        <v>62</v>
      </c>
      <c r="AF50" t="s">
        <v>63</v>
      </c>
      <c r="AG50" t="s">
        <v>63</v>
      </c>
      <c r="AH50" s="3"/>
      <c r="AI50" s="3" t="s">
        <v>254</v>
      </c>
      <c r="AJ50" s="3" t="s">
        <v>65</v>
      </c>
      <c r="AK50" s="3" t="s">
        <v>62</v>
      </c>
      <c r="AL50" s="3" t="s">
        <v>62</v>
      </c>
      <c r="AM50" s="3" t="s">
        <v>66</v>
      </c>
      <c r="AN50" s="3" t="s">
        <v>67</v>
      </c>
      <c r="AO50" s="3" t="s">
        <v>68</v>
      </c>
      <c r="AP50" s="3" t="s">
        <v>69</v>
      </c>
      <c r="AQ50" s="3">
        <v>46213</v>
      </c>
      <c r="AR50" s="3" t="s">
        <v>70</v>
      </c>
      <c r="AS50" s="3" t="s">
        <v>89</v>
      </c>
      <c r="AT50" s="3" t="s">
        <v>90</v>
      </c>
      <c r="AU50" s="3" t="s">
        <v>73</v>
      </c>
      <c r="AV50" s="3" t="s">
        <v>89</v>
      </c>
      <c r="AW50" s="3" t="s">
        <v>91</v>
      </c>
      <c r="AX50" s="3" t="s">
        <v>75</v>
      </c>
      <c r="AY50" s="3" t="s">
        <v>76</v>
      </c>
    </row>
    <row r="51" spans="1:51" ht="140">
      <c r="A51" t="s">
        <v>255</v>
      </c>
      <c r="B51" t="s">
        <v>256</v>
      </c>
      <c r="C51" t="s">
        <v>253</v>
      </c>
      <c r="D51" t="s">
        <v>54</v>
      </c>
      <c r="E51" t="s">
        <v>94</v>
      </c>
      <c r="F51" s="4">
        <v>36.727519999999998</v>
      </c>
      <c r="G51" s="4">
        <v>27.775790000000001</v>
      </c>
      <c r="H51" s="5">
        <v>3.4</v>
      </c>
      <c r="I51" t="s">
        <v>56</v>
      </c>
      <c r="J51" t="s">
        <v>57</v>
      </c>
      <c r="K51" t="s">
        <v>57</v>
      </c>
      <c r="L51" t="s">
        <v>71</v>
      </c>
      <c r="M51" t="s">
        <v>95</v>
      </c>
      <c r="N51" t="s">
        <v>71</v>
      </c>
      <c r="O51" t="s">
        <v>57</v>
      </c>
      <c r="P51" t="s">
        <v>57</v>
      </c>
      <c r="Q51" s="5"/>
      <c r="R51" s="5"/>
      <c r="S51" t="s">
        <v>58</v>
      </c>
      <c r="T51" t="s">
        <v>57</v>
      </c>
      <c r="U51" t="s">
        <v>104</v>
      </c>
      <c r="V51" t="s">
        <v>98</v>
      </c>
      <c r="W51" s="10"/>
      <c r="X51" t="s">
        <v>98</v>
      </c>
      <c r="Y51" t="s">
        <v>98</v>
      </c>
      <c r="Z51" t="s">
        <v>98</v>
      </c>
      <c r="AA51" t="s">
        <v>98</v>
      </c>
      <c r="AB51" t="s">
        <v>98</v>
      </c>
      <c r="AC51" t="s">
        <v>98</v>
      </c>
      <c r="AD51" t="s">
        <v>98</v>
      </c>
      <c r="AE51" t="s">
        <v>98</v>
      </c>
      <c r="AF51" t="s">
        <v>63</v>
      </c>
      <c r="AG51" t="s">
        <v>63</v>
      </c>
      <c r="AH51" s="3"/>
      <c r="AI51" s="3" t="s">
        <v>257</v>
      </c>
      <c r="AJ51" s="3" t="s">
        <v>65</v>
      </c>
      <c r="AK51" s="3" t="s">
        <v>62</v>
      </c>
      <c r="AL51" s="3" t="s">
        <v>62</v>
      </c>
      <c r="AM51" s="3" t="s">
        <v>85</v>
      </c>
      <c r="AN51" s="3" t="s">
        <v>67</v>
      </c>
      <c r="AO51" s="3" t="s">
        <v>86</v>
      </c>
      <c r="AP51" s="3" t="s">
        <v>87</v>
      </c>
      <c r="AQ51" s="3">
        <v>46213</v>
      </c>
      <c r="AR51" s="3" t="s">
        <v>88</v>
      </c>
      <c r="AS51" s="3" t="s">
        <v>95</v>
      </c>
      <c r="AT51" s="3" t="s">
        <v>100</v>
      </c>
      <c r="AU51" s="3" t="s">
        <v>73</v>
      </c>
      <c r="AV51" s="3" t="s">
        <v>95</v>
      </c>
      <c r="AW51" s="3" t="s">
        <v>101</v>
      </c>
      <c r="AX51" s="3" t="s">
        <v>75</v>
      </c>
      <c r="AY51" s="3" t="s">
        <v>76</v>
      </c>
    </row>
    <row r="52" spans="1:51" ht="140">
      <c r="A52" t="s">
        <v>258</v>
      </c>
      <c r="B52" t="s">
        <v>259</v>
      </c>
      <c r="C52" t="s">
        <v>260</v>
      </c>
      <c r="D52" t="s">
        <v>54</v>
      </c>
      <c r="E52" t="s">
        <v>55</v>
      </c>
      <c r="F52" s="4">
        <v>36.72</v>
      </c>
      <c r="G52" s="4">
        <v>28.26248</v>
      </c>
      <c r="H52" s="5">
        <v>3.9</v>
      </c>
      <c r="I52" t="s">
        <v>56</v>
      </c>
      <c r="J52" t="s">
        <v>56</v>
      </c>
      <c r="K52" t="s">
        <v>56</v>
      </c>
      <c r="L52" t="s">
        <v>56</v>
      </c>
      <c r="M52" t="s">
        <v>57</v>
      </c>
      <c r="N52" t="s">
        <v>56</v>
      </c>
      <c r="O52" t="s">
        <v>56</v>
      </c>
      <c r="P52" t="s">
        <v>56</v>
      </c>
      <c r="Q52" s="5"/>
      <c r="R52" s="5"/>
      <c r="S52" t="s">
        <v>58</v>
      </c>
      <c r="T52" t="s">
        <v>59</v>
      </c>
      <c r="U52" t="s">
        <v>60</v>
      </c>
      <c r="V52" t="s">
        <v>61</v>
      </c>
      <c r="W52" s="10"/>
      <c r="X52" t="s">
        <v>62</v>
      </c>
      <c r="Y52" t="s">
        <v>62</v>
      </c>
      <c r="Z52" t="s">
        <v>62</v>
      </c>
      <c r="AA52" t="s">
        <v>62</v>
      </c>
      <c r="AB52" t="s">
        <v>62</v>
      </c>
      <c r="AC52" t="s">
        <v>62</v>
      </c>
      <c r="AD52" t="s">
        <v>62</v>
      </c>
      <c r="AE52" t="s">
        <v>62</v>
      </c>
      <c r="AF52" t="s">
        <v>63</v>
      </c>
      <c r="AG52" t="s">
        <v>63</v>
      </c>
      <c r="AH52" s="3"/>
      <c r="AI52" s="3" t="s">
        <v>261</v>
      </c>
      <c r="AJ52" s="3" t="s">
        <v>65</v>
      </c>
      <c r="AK52" s="3" t="s">
        <v>62</v>
      </c>
      <c r="AL52" s="3" t="s">
        <v>62</v>
      </c>
      <c r="AM52" s="3" t="s">
        <v>85</v>
      </c>
      <c r="AN52" s="3" t="s">
        <v>67</v>
      </c>
      <c r="AO52" s="3" t="s">
        <v>86</v>
      </c>
      <c r="AP52" s="3" t="s">
        <v>87</v>
      </c>
      <c r="AQ52" s="3">
        <v>46213</v>
      </c>
      <c r="AR52" s="3" t="s">
        <v>88</v>
      </c>
      <c r="AS52" s="3" t="s">
        <v>71</v>
      </c>
      <c r="AT52" s="3" t="s">
        <v>72</v>
      </c>
      <c r="AU52" s="3" t="s">
        <v>73</v>
      </c>
      <c r="AV52" s="3" t="s">
        <v>71</v>
      </c>
      <c r="AW52" s="3" t="s">
        <v>74</v>
      </c>
      <c r="AX52" s="3" t="s">
        <v>75</v>
      </c>
      <c r="AY52" s="3" t="s">
        <v>76</v>
      </c>
    </row>
    <row r="53" spans="1:51" ht="140">
      <c r="A53" t="s">
        <v>262</v>
      </c>
      <c r="B53" t="s">
        <v>263</v>
      </c>
      <c r="C53" t="s">
        <v>260</v>
      </c>
      <c r="D53" t="s">
        <v>54</v>
      </c>
      <c r="E53" t="s">
        <v>55</v>
      </c>
      <c r="F53" s="4">
        <v>36.726759999999999</v>
      </c>
      <c r="G53" s="4">
        <v>28.2408</v>
      </c>
      <c r="H53" s="5">
        <v>3.8</v>
      </c>
      <c r="I53" t="s">
        <v>56</v>
      </c>
      <c r="J53" t="s">
        <v>56</v>
      </c>
      <c r="K53" t="s">
        <v>56</v>
      </c>
      <c r="L53" t="s">
        <v>56</v>
      </c>
      <c r="M53" t="s">
        <v>57</v>
      </c>
      <c r="N53" t="s">
        <v>56</v>
      </c>
      <c r="O53" t="s">
        <v>56</v>
      </c>
      <c r="P53" t="s">
        <v>56</v>
      </c>
      <c r="Q53" s="5"/>
      <c r="R53" s="5"/>
      <c r="S53" t="s">
        <v>58</v>
      </c>
      <c r="T53" t="s">
        <v>59</v>
      </c>
      <c r="U53" t="s">
        <v>60</v>
      </c>
      <c r="V53" t="s">
        <v>61</v>
      </c>
      <c r="W53" s="10"/>
      <c r="X53" t="s">
        <v>62</v>
      </c>
      <c r="Y53" t="s">
        <v>62</v>
      </c>
      <c r="Z53" t="s">
        <v>62</v>
      </c>
      <c r="AA53" t="s">
        <v>62</v>
      </c>
      <c r="AB53" t="s">
        <v>62</v>
      </c>
      <c r="AC53" t="s">
        <v>62</v>
      </c>
      <c r="AD53" t="s">
        <v>62</v>
      </c>
      <c r="AE53" t="s">
        <v>62</v>
      </c>
      <c r="AF53" t="s">
        <v>63</v>
      </c>
      <c r="AG53" t="s">
        <v>63</v>
      </c>
      <c r="AH53" s="3"/>
      <c r="AI53" s="3" t="s">
        <v>264</v>
      </c>
      <c r="AJ53" s="3" t="s">
        <v>65</v>
      </c>
      <c r="AK53" s="3" t="s">
        <v>62</v>
      </c>
      <c r="AL53" s="3" t="s">
        <v>62</v>
      </c>
      <c r="AM53" s="3" t="s">
        <v>85</v>
      </c>
      <c r="AN53" s="3" t="s">
        <v>67</v>
      </c>
      <c r="AO53" s="3" t="s">
        <v>86</v>
      </c>
      <c r="AP53" s="3" t="s">
        <v>87</v>
      </c>
      <c r="AQ53" s="3">
        <v>46213</v>
      </c>
      <c r="AR53" s="3" t="s">
        <v>88</v>
      </c>
      <c r="AS53" s="3" t="s">
        <v>71</v>
      </c>
      <c r="AT53" s="3" t="s">
        <v>72</v>
      </c>
      <c r="AU53" s="3" t="s">
        <v>73</v>
      </c>
      <c r="AV53" s="3" t="s">
        <v>71</v>
      </c>
      <c r="AW53" s="3" t="s">
        <v>74</v>
      </c>
      <c r="AX53" s="3" t="s">
        <v>75</v>
      </c>
      <c r="AY53" s="3" t="s">
        <v>76</v>
      </c>
    </row>
    <row r="54" spans="1:51" ht="140">
      <c r="A54" t="s">
        <v>265</v>
      </c>
      <c r="B54" t="s">
        <v>266</v>
      </c>
      <c r="C54" t="s">
        <v>260</v>
      </c>
      <c r="D54" t="s">
        <v>54</v>
      </c>
      <c r="E54" t="s">
        <v>94</v>
      </c>
      <c r="F54" s="4">
        <v>36.710039999999999</v>
      </c>
      <c r="G54" s="4">
        <v>28.251090000000001</v>
      </c>
      <c r="H54" s="5">
        <v>3.6</v>
      </c>
      <c r="I54" t="s">
        <v>56</v>
      </c>
      <c r="J54" t="s">
        <v>57</v>
      </c>
      <c r="K54" t="s">
        <v>57</v>
      </c>
      <c r="L54" t="s">
        <v>71</v>
      </c>
      <c r="M54" t="s">
        <v>95</v>
      </c>
      <c r="N54" t="s">
        <v>71</v>
      </c>
      <c r="O54" t="s">
        <v>71</v>
      </c>
      <c r="P54" t="s">
        <v>57</v>
      </c>
      <c r="Q54" s="5"/>
      <c r="R54" s="5"/>
      <c r="S54" t="s">
        <v>58</v>
      </c>
      <c r="T54" t="s">
        <v>57</v>
      </c>
      <c r="U54" t="s">
        <v>104</v>
      </c>
      <c r="V54" t="s">
        <v>98</v>
      </c>
      <c r="W54" s="10"/>
      <c r="X54" t="s">
        <v>98</v>
      </c>
      <c r="Y54" t="s">
        <v>98</v>
      </c>
      <c r="Z54" t="s">
        <v>98</v>
      </c>
      <c r="AA54" t="s">
        <v>98</v>
      </c>
      <c r="AB54" t="s">
        <v>98</v>
      </c>
      <c r="AC54" t="s">
        <v>98</v>
      </c>
      <c r="AD54" t="s">
        <v>98</v>
      </c>
      <c r="AE54" t="s">
        <v>98</v>
      </c>
      <c r="AF54" t="s">
        <v>63</v>
      </c>
      <c r="AG54" t="s">
        <v>63</v>
      </c>
      <c r="AH54" s="3"/>
      <c r="AI54" s="3" t="s">
        <v>267</v>
      </c>
      <c r="AJ54" s="3" t="s">
        <v>65</v>
      </c>
      <c r="AK54" s="3" t="s">
        <v>62</v>
      </c>
      <c r="AL54" s="3" t="s">
        <v>62</v>
      </c>
      <c r="AM54" s="3" t="s">
        <v>85</v>
      </c>
      <c r="AN54" s="3" t="s">
        <v>67</v>
      </c>
      <c r="AO54" s="3" t="s">
        <v>86</v>
      </c>
      <c r="AP54" s="3" t="s">
        <v>87</v>
      </c>
      <c r="AQ54" s="3">
        <v>46213</v>
      </c>
      <c r="AR54" s="3" t="s">
        <v>88</v>
      </c>
      <c r="AS54" s="3" t="s">
        <v>95</v>
      </c>
      <c r="AT54" s="3" t="s">
        <v>100</v>
      </c>
      <c r="AU54" s="3" t="s">
        <v>73</v>
      </c>
      <c r="AV54" s="3" t="s">
        <v>95</v>
      </c>
      <c r="AW54" s="3" t="s">
        <v>101</v>
      </c>
      <c r="AX54" s="3" t="s">
        <v>75</v>
      </c>
      <c r="AY54" s="3" t="s">
        <v>76</v>
      </c>
    </row>
    <row r="55" spans="1:51" ht="140">
      <c r="A55" t="s">
        <v>268</v>
      </c>
      <c r="B55" t="s">
        <v>269</v>
      </c>
      <c r="C55" t="s">
        <v>260</v>
      </c>
      <c r="D55" t="s">
        <v>54</v>
      </c>
      <c r="E55" t="s">
        <v>94</v>
      </c>
      <c r="F55" s="4">
        <v>36.732689999999998</v>
      </c>
      <c r="G55" s="4">
        <v>28.262149999999998</v>
      </c>
      <c r="H55" s="5">
        <v>3.5</v>
      </c>
      <c r="I55" t="s">
        <v>56</v>
      </c>
      <c r="J55" t="s">
        <v>57</v>
      </c>
      <c r="K55" t="s">
        <v>57</v>
      </c>
      <c r="L55" t="s">
        <v>71</v>
      </c>
      <c r="M55" t="s">
        <v>95</v>
      </c>
      <c r="N55" t="s">
        <v>71</v>
      </c>
      <c r="O55" t="s">
        <v>57</v>
      </c>
      <c r="P55" t="s">
        <v>57</v>
      </c>
      <c r="Q55" s="5"/>
      <c r="R55" s="5"/>
      <c r="S55" t="s">
        <v>58</v>
      </c>
      <c r="T55" t="s">
        <v>57</v>
      </c>
      <c r="U55" t="s">
        <v>104</v>
      </c>
      <c r="V55" t="s">
        <v>98</v>
      </c>
      <c r="W55" s="10"/>
      <c r="X55" t="s">
        <v>98</v>
      </c>
      <c r="Y55" t="s">
        <v>98</v>
      </c>
      <c r="Z55" t="s">
        <v>98</v>
      </c>
      <c r="AA55" t="s">
        <v>98</v>
      </c>
      <c r="AB55" t="s">
        <v>98</v>
      </c>
      <c r="AC55" t="s">
        <v>98</v>
      </c>
      <c r="AD55" t="s">
        <v>98</v>
      </c>
      <c r="AE55" t="s">
        <v>98</v>
      </c>
      <c r="AF55" t="s">
        <v>63</v>
      </c>
      <c r="AG55" t="s">
        <v>63</v>
      </c>
      <c r="AH55" s="3"/>
      <c r="AI55" s="3" t="s">
        <v>270</v>
      </c>
      <c r="AJ55" s="3" t="s">
        <v>65</v>
      </c>
      <c r="AK55" s="3" t="s">
        <v>62</v>
      </c>
      <c r="AL55" s="3" t="s">
        <v>62</v>
      </c>
      <c r="AM55" s="3" t="s">
        <v>85</v>
      </c>
      <c r="AN55" s="3" t="s">
        <v>67</v>
      </c>
      <c r="AO55" s="3" t="s">
        <v>86</v>
      </c>
      <c r="AP55" s="3" t="s">
        <v>87</v>
      </c>
      <c r="AQ55" s="3">
        <v>46213</v>
      </c>
      <c r="AR55" s="3" t="s">
        <v>88</v>
      </c>
      <c r="AS55" s="3" t="s">
        <v>95</v>
      </c>
      <c r="AT55" s="3" t="s">
        <v>100</v>
      </c>
      <c r="AU55" s="3" t="s">
        <v>73</v>
      </c>
      <c r="AV55" s="3" t="s">
        <v>95</v>
      </c>
      <c r="AW55" s="3" t="s">
        <v>101</v>
      </c>
      <c r="AX55" s="3" t="s">
        <v>75</v>
      </c>
      <c r="AY55" s="3" t="s">
        <v>76</v>
      </c>
    </row>
    <row r="56" spans="1:51" ht="140">
      <c r="A56" t="s">
        <v>271</v>
      </c>
      <c r="B56" t="s">
        <v>272</v>
      </c>
      <c r="C56" t="s">
        <v>260</v>
      </c>
      <c r="D56" t="s">
        <v>54</v>
      </c>
      <c r="E56" t="s">
        <v>94</v>
      </c>
      <c r="F56" s="4">
        <v>36.717219999999998</v>
      </c>
      <c r="G56" s="4">
        <v>28.230340000000002</v>
      </c>
      <c r="H56" s="5">
        <v>3.4</v>
      </c>
      <c r="I56" t="s">
        <v>56</v>
      </c>
      <c r="J56" t="s">
        <v>57</v>
      </c>
      <c r="K56" t="s">
        <v>57</v>
      </c>
      <c r="L56" t="s">
        <v>71</v>
      </c>
      <c r="M56" t="s">
        <v>95</v>
      </c>
      <c r="N56" t="s">
        <v>71</v>
      </c>
      <c r="O56" t="s">
        <v>57</v>
      </c>
      <c r="P56" t="s">
        <v>57</v>
      </c>
      <c r="Q56" s="5"/>
      <c r="R56" s="5"/>
      <c r="S56" t="s">
        <v>80</v>
      </c>
      <c r="T56" t="s">
        <v>57</v>
      </c>
      <c r="U56" t="s">
        <v>122</v>
      </c>
      <c r="V56" t="s">
        <v>98</v>
      </c>
      <c r="W56" s="10"/>
      <c r="X56" t="s">
        <v>98</v>
      </c>
      <c r="Y56" t="s">
        <v>98</v>
      </c>
      <c r="Z56" t="s">
        <v>98</v>
      </c>
      <c r="AA56" t="s">
        <v>98</v>
      </c>
      <c r="AB56" t="s">
        <v>98</v>
      </c>
      <c r="AC56" t="s">
        <v>98</v>
      </c>
      <c r="AD56" t="s">
        <v>98</v>
      </c>
      <c r="AE56" t="s">
        <v>98</v>
      </c>
      <c r="AF56" t="s">
        <v>123</v>
      </c>
      <c r="AG56" t="s">
        <v>63</v>
      </c>
      <c r="AH56" s="3"/>
      <c r="AI56" s="3" t="s">
        <v>273</v>
      </c>
      <c r="AJ56" s="3" t="s">
        <v>65</v>
      </c>
      <c r="AK56" s="3" t="s">
        <v>62</v>
      </c>
      <c r="AL56" s="3" t="s">
        <v>62</v>
      </c>
      <c r="AM56" s="3" t="s">
        <v>85</v>
      </c>
      <c r="AN56" s="3" t="s">
        <v>67</v>
      </c>
      <c r="AO56" s="3" t="s">
        <v>86</v>
      </c>
      <c r="AP56" s="3" t="s">
        <v>87</v>
      </c>
      <c r="AQ56" s="3">
        <v>46213</v>
      </c>
      <c r="AR56" s="3" t="s">
        <v>88</v>
      </c>
      <c r="AS56" s="3" t="s">
        <v>95</v>
      </c>
      <c r="AT56" s="3" t="s">
        <v>100</v>
      </c>
      <c r="AU56" s="3" t="s">
        <v>73</v>
      </c>
      <c r="AV56" s="3" t="s">
        <v>95</v>
      </c>
      <c r="AW56" s="3" t="s">
        <v>101</v>
      </c>
      <c r="AX56" s="3" t="s">
        <v>75</v>
      </c>
      <c r="AY56" s="3" t="s">
        <v>76</v>
      </c>
    </row>
    <row r="57" spans="1:51" ht="140">
      <c r="A57" t="s">
        <v>274</v>
      </c>
      <c r="B57" t="s">
        <v>132</v>
      </c>
      <c r="C57" t="s">
        <v>260</v>
      </c>
      <c r="D57" t="s">
        <v>54</v>
      </c>
      <c r="E57" t="s">
        <v>94</v>
      </c>
      <c r="F57" s="4">
        <v>36.711399999999998</v>
      </c>
      <c r="G57" s="4">
        <v>28.266829999999999</v>
      </c>
      <c r="H57" s="5">
        <v>4</v>
      </c>
      <c r="I57" t="s">
        <v>56</v>
      </c>
      <c r="J57" t="s">
        <v>57</v>
      </c>
      <c r="K57" t="s">
        <v>57</v>
      </c>
      <c r="L57" t="s">
        <v>71</v>
      </c>
      <c r="M57" t="s">
        <v>95</v>
      </c>
      <c r="N57" t="s">
        <v>71</v>
      </c>
      <c r="O57" t="s">
        <v>57</v>
      </c>
      <c r="P57" t="s">
        <v>57</v>
      </c>
      <c r="Q57" s="5"/>
      <c r="R57" s="5"/>
      <c r="S57" t="s">
        <v>96</v>
      </c>
      <c r="T57" t="s">
        <v>57</v>
      </c>
      <c r="U57" t="s">
        <v>97</v>
      </c>
      <c r="V57" t="s">
        <v>98</v>
      </c>
      <c r="W57" s="10"/>
      <c r="X57" t="s">
        <v>98</v>
      </c>
      <c r="Y57" t="s">
        <v>98</v>
      </c>
      <c r="Z57" t="s">
        <v>98</v>
      </c>
      <c r="AA57" t="s">
        <v>98</v>
      </c>
      <c r="AB57" t="s">
        <v>98</v>
      </c>
      <c r="AC57" t="s">
        <v>98</v>
      </c>
      <c r="AD57" t="s">
        <v>98</v>
      </c>
      <c r="AE57" t="s">
        <v>98</v>
      </c>
      <c r="AF57" t="s">
        <v>123</v>
      </c>
      <c r="AG57" t="s">
        <v>63</v>
      </c>
      <c r="AH57" s="3"/>
      <c r="AI57" s="3" t="s">
        <v>275</v>
      </c>
      <c r="AJ57" s="3" t="s">
        <v>65</v>
      </c>
      <c r="AK57" s="3" t="s">
        <v>62</v>
      </c>
      <c r="AL57" s="3" t="s">
        <v>62</v>
      </c>
      <c r="AM57" s="3" t="s">
        <v>85</v>
      </c>
      <c r="AN57" s="3" t="s">
        <v>67</v>
      </c>
      <c r="AO57" s="3" t="s">
        <v>86</v>
      </c>
      <c r="AP57" s="3" t="s">
        <v>87</v>
      </c>
      <c r="AQ57" s="3">
        <v>46213</v>
      </c>
      <c r="AR57" s="3" t="s">
        <v>88</v>
      </c>
      <c r="AS57" s="3" t="s">
        <v>95</v>
      </c>
      <c r="AT57" s="3" t="s">
        <v>100</v>
      </c>
      <c r="AU57" s="3" t="s">
        <v>73</v>
      </c>
      <c r="AV57" s="3" t="s">
        <v>95</v>
      </c>
      <c r="AW57" s="3" t="s">
        <v>101</v>
      </c>
      <c r="AX57" s="3" t="s">
        <v>75</v>
      </c>
      <c r="AY57" s="3" t="s">
        <v>76</v>
      </c>
    </row>
    <row r="58" spans="1:51" ht="140">
      <c r="A58" t="s">
        <v>276</v>
      </c>
      <c r="B58" t="s">
        <v>277</v>
      </c>
      <c r="C58" t="s">
        <v>260</v>
      </c>
      <c r="D58" t="s">
        <v>54</v>
      </c>
      <c r="E58" t="s">
        <v>79</v>
      </c>
      <c r="F58" s="4">
        <v>36.741250000000001</v>
      </c>
      <c r="G58" s="4">
        <v>28.242899999999999</v>
      </c>
      <c r="H58" s="5">
        <v>3.5</v>
      </c>
      <c r="I58" t="s">
        <v>57</v>
      </c>
      <c r="J58" t="s">
        <v>57</v>
      </c>
      <c r="K58" t="s">
        <v>57</v>
      </c>
      <c r="L58" t="s">
        <v>71</v>
      </c>
      <c r="M58" t="s">
        <v>71</v>
      </c>
      <c r="N58" t="s">
        <v>71</v>
      </c>
      <c r="O58" t="s">
        <v>57</v>
      </c>
      <c r="P58" t="s">
        <v>57</v>
      </c>
      <c r="Q58" s="5"/>
      <c r="R58" s="5"/>
      <c r="S58" t="s">
        <v>80</v>
      </c>
      <c r="T58" t="s">
        <v>81</v>
      </c>
      <c r="U58" t="s">
        <v>82</v>
      </c>
      <c r="V58" t="s">
        <v>98</v>
      </c>
      <c r="W58" s="10"/>
      <c r="X58" t="s">
        <v>62</v>
      </c>
      <c r="Y58" t="s">
        <v>62</v>
      </c>
      <c r="Z58" t="s">
        <v>62</v>
      </c>
      <c r="AA58" t="s">
        <v>62</v>
      </c>
      <c r="AB58" t="s">
        <v>62</v>
      </c>
      <c r="AC58" t="s">
        <v>62</v>
      </c>
      <c r="AD58" t="s">
        <v>62</v>
      </c>
      <c r="AE58" t="s">
        <v>62</v>
      </c>
      <c r="AF58" t="s">
        <v>123</v>
      </c>
      <c r="AG58" t="s">
        <v>63</v>
      </c>
      <c r="AH58" s="3"/>
      <c r="AI58" s="3" t="s">
        <v>278</v>
      </c>
      <c r="AJ58" s="3" t="s">
        <v>65</v>
      </c>
      <c r="AK58" s="3" t="s">
        <v>62</v>
      </c>
      <c r="AL58" s="3" t="s">
        <v>62</v>
      </c>
      <c r="AM58" s="3" t="s">
        <v>85</v>
      </c>
      <c r="AN58" s="3" t="s">
        <v>67</v>
      </c>
      <c r="AO58" s="3" t="s">
        <v>86</v>
      </c>
      <c r="AP58" s="3" t="s">
        <v>87</v>
      </c>
      <c r="AQ58" s="3">
        <v>46213</v>
      </c>
      <c r="AR58" s="3" t="s">
        <v>88</v>
      </c>
      <c r="AS58" s="3" t="s">
        <v>89</v>
      </c>
      <c r="AT58" s="3" t="s">
        <v>90</v>
      </c>
      <c r="AU58" s="3" t="s">
        <v>73</v>
      </c>
      <c r="AV58" s="3" t="s">
        <v>89</v>
      </c>
      <c r="AW58" s="3" t="s">
        <v>91</v>
      </c>
      <c r="AX58" s="3" t="s">
        <v>75</v>
      </c>
      <c r="AY58" s="3" t="s">
        <v>76</v>
      </c>
    </row>
    <row r="59" spans="1:51" ht="140">
      <c r="A59" t="s">
        <v>279</v>
      </c>
      <c r="B59" t="s">
        <v>280</v>
      </c>
      <c r="C59" t="s">
        <v>260</v>
      </c>
      <c r="D59" t="s">
        <v>54</v>
      </c>
      <c r="E59" t="s">
        <v>94</v>
      </c>
      <c r="F59" s="4">
        <v>36.5715</v>
      </c>
      <c r="G59" s="4">
        <v>28.015000000000001</v>
      </c>
      <c r="H59" s="5">
        <v>3.4</v>
      </c>
      <c r="I59" t="s">
        <v>56</v>
      </c>
      <c r="J59" t="s">
        <v>57</v>
      </c>
      <c r="K59" t="s">
        <v>57</v>
      </c>
      <c r="L59" t="s">
        <v>71</v>
      </c>
      <c r="M59" t="s">
        <v>95</v>
      </c>
      <c r="N59" t="s">
        <v>71</v>
      </c>
      <c r="O59" t="s">
        <v>57</v>
      </c>
      <c r="P59" t="s">
        <v>57</v>
      </c>
      <c r="Q59" s="5"/>
      <c r="R59" s="5"/>
      <c r="S59" t="s">
        <v>58</v>
      </c>
      <c r="T59" t="s">
        <v>57</v>
      </c>
      <c r="U59" t="s">
        <v>104</v>
      </c>
      <c r="V59" t="s">
        <v>98</v>
      </c>
      <c r="W59" s="10"/>
      <c r="X59" t="s">
        <v>98</v>
      </c>
      <c r="Y59" t="s">
        <v>98</v>
      </c>
      <c r="Z59" t="s">
        <v>98</v>
      </c>
      <c r="AA59" t="s">
        <v>98</v>
      </c>
      <c r="AB59" t="s">
        <v>98</v>
      </c>
      <c r="AC59" t="s">
        <v>98</v>
      </c>
      <c r="AD59" t="s">
        <v>98</v>
      </c>
      <c r="AE59" t="s">
        <v>98</v>
      </c>
      <c r="AF59" t="s">
        <v>123</v>
      </c>
      <c r="AG59" t="s">
        <v>63</v>
      </c>
      <c r="AH59" s="3"/>
      <c r="AI59" s="3" t="s">
        <v>281</v>
      </c>
      <c r="AJ59" s="3" t="s">
        <v>65</v>
      </c>
      <c r="AK59" s="3" t="s">
        <v>62</v>
      </c>
      <c r="AL59" s="3" t="s">
        <v>62</v>
      </c>
      <c r="AM59" s="3" t="s">
        <v>66</v>
      </c>
      <c r="AN59" s="3" t="s">
        <v>67</v>
      </c>
      <c r="AO59" s="3" t="s">
        <v>68</v>
      </c>
      <c r="AP59" s="3" t="s">
        <v>69</v>
      </c>
      <c r="AQ59" s="3">
        <v>46213</v>
      </c>
      <c r="AR59" s="3" t="s">
        <v>70</v>
      </c>
      <c r="AS59" s="3" t="s">
        <v>95</v>
      </c>
      <c r="AT59" s="3" t="s">
        <v>100</v>
      </c>
      <c r="AU59" s="3" t="s">
        <v>73</v>
      </c>
      <c r="AV59" s="3" t="s">
        <v>95</v>
      </c>
      <c r="AW59" s="3" t="s">
        <v>101</v>
      </c>
      <c r="AX59" s="3" t="s">
        <v>75</v>
      </c>
      <c r="AY59" s="3" t="s">
        <v>76</v>
      </c>
    </row>
    <row r="60" spans="1:51" ht="140">
      <c r="A60" t="s">
        <v>282</v>
      </c>
      <c r="B60" t="s">
        <v>283</v>
      </c>
      <c r="C60" t="s">
        <v>260</v>
      </c>
      <c r="D60" t="s">
        <v>54</v>
      </c>
      <c r="E60" t="s">
        <v>94</v>
      </c>
      <c r="F60" s="4">
        <v>36.826000000000001</v>
      </c>
      <c r="G60" s="4">
        <v>28.553999999999998</v>
      </c>
      <c r="H60" s="5">
        <v>3.8</v>
      </c>
      <c r="I60" t="s">
        <v>56</v>
      </c>
      <c r="J60" t="s">
        <v>57</v>
      </c>
      <c r="K60" t="s">
        <v>57</v>
      </c>
      <c r="L60" t="s">
        <v>71</v>
      </c>
      <c r="M60" t="s">
        <v>95</v>
      </c>
      <c r="N60" t="s">
        <v>71</v>
      </c>
      <c r="O60" t="s">
        <v>57</v>
      </c>
      <c r="P60" t="s">
        <v>57</v>
      </c>
      <c r="Q60" s="5"/>
      <c r="R60" s="5"/>
      <c r="S60" t="s">
        <v>113</v>
      </c>
      <c r="T60" t="s">
        <v>114</v>
      </c>
      <c r="U60" t="s">
        <v>115</v>
      </c>
      <c r="V60" t="s">
        <v>98</v>
      </c>
      <c r="W60" s="10"/>
      <c r="X60" t="s">
        <v>98</v>
      </c>
      <c r="Y60" t="s">
        <v>98</v>
      </c>
      <c r="Z60" t="s">
        <v>98</v>
      </c>
      <c r="AA60" t="s">
        <v>98</v>
      </c>
      <c r="AB60" t="s">
        <v>98</v>
      </c>
      <c r="AC60" t="s">
        <v>98</v>
      </c>
      <c r="AD60" t="s">
        <v>98</v>
      </c>
      <c r="AE60" t="s">
        <v>98</v>
      </c>
      <c r="AF60" t="s">
        <v>63</v>
      </c>
      <c r="AG60" t="s">
        <v>63</v>
      </c>
      <c r="AH60" s="3"/>
      <c r="AI60" s="3" t="s">
        <v>284</v>
      </c>
      <c r="AJ60" s="3" t="s">
        <v>65</v>
      </c>
      <c r="AK60" s="3" t="s">
        <v>62</v>
      </c>
      <c r="AL60" s="3" t="s">
        <v>62</v>
      </c>
      <c r="AM60" s="3" t="s">
        <v>66</v>
      </c>
      <c r="AN60" s="3" t="s">
        <v>67</v>
      </c>
      <c r="AO60" s="3" t="s">
        <v>68</v>
      </c>
      <c r="AP60" s="3" t="s">
        <v>69</v>
      </c>
      <c r="AQ60" s="3">
        <v>46213</v>
      </c>
      <c r="AR60" s="3" t="s">
        <v>70</v>
      </c>
      <c r="AS60" s="3" t="s">
        <v>95</v>
      </c>
      <c r="AT60" s="3" t="s">
        <v>100</v>
      </c>
      <c r="AU60" s="3" t="s">
        <v>73</v>
      </c>
      <c r="AV60" s="3" t="s">
        <v>95</v>
      </c>
      <c r="AW60" s="3" t="s">
        <v>101</v>
      </c>
      <c r="AX60" s="3" t="s">
        <v>75</v>
      </c>
      <c r="AY60" s="3" t="s">
        <v>76</v>
      </c>
    </row>
    <row r="61" spans="1:51" ht="140">
      <c r="A61" t="s">
        <v>285</v>
      </c>
      <c r="B61" t="s">
        <v>286</v>
      </c>
      <c r="C61" t="s">
        <v>260</v>
      </c>
      <c r="D61" t="s">
        <v>54</v>
      </c>
      <c r="E61" t="s">
        <v>94</v>
      </c>
      <c r="F61" s="4">
        <v>36.700490000000002</v>
      </c>
      <c r="G61" s="4">
        <v>28.23733</v>
      </c>
      <c r="H61" s="5">
        <v>3.8</v>
      </c>
      <c r="I61" t="s">
        <v>56</v>
      </c>
      <c r="J61" t="s">
        <v>57</v>
      </c>
      <c r="K61" t="s">
        <v>57</v>
      </c>
      <c r="L61" t="s">
        <v>71</v>
      </c>
      <c r="M61" t="s">
        <v>95</v>
      </c>
      <c r="N61" t="s">
        <v>71</v>
      </c>
      <c r="O61" t="s">
        <v>57</v>
      </c>
      <c r="P61" t="s">
        <v>57</v>
      </c>
      <c r="Q61" s="5"/>
      <c r="R61" s="5"/>
      <c r="S61" t="s">
        <v>58</v>
      </c>
      <c r="T61" t="s">
        <v>57</v>
      </c>
      <c r="U61" t="s">
        <v>104</v>
      </c>
      <c r="V61" t="s">
        <v>98</v>
      </c>
      <c r="W61" s="10"/>
      <c r="X61" t="s">
        <v>98</v>
      </c>
      <c r="Y61" t="s">
        <v>98</v>
      </c>
      <c r="Z61" t="s">
        <v>98</v>
      </c>
      <c r="AA61" t="s">
        <v>98</v>
      </c>
      <c r="AB61" t="s">
        <v>98</v>
      </c>
      <c r="AC61" t="s">
        <v>98</v>
      </c>
      <c r="AD61" t="s">
        <v>98</v>
      </c>
      <c r="AE61" t="s">
        <v>98</v>
      </c>
      <c r="AF61" t="s">
        <v>123</v>
      </c>
      <c r="AG61" t="s">
        <v>123</v>
      </c>
      <c r="AH61" s="3"/>
      <c r="AI61" s="3" t="s">
        <v>287</v>
      </c>
      <c r="AJ61" s="3" t="s">
        <v>65</v>
      </c>
      <c r="AK61" s="3" t="s">
        <v>62</v>
      </c>
      <c r="AL61" s="3" t="s">
        <v>62</v>
      </c>
      <c r="AM61" s="3" t="s">
        <v>85</v>
      </c>
      <c r="AN61" s="3" t="s">
        <v>67</v>
      </c>
      <c r="AO61" s="3" t="s">
        <v>86</v>
      </c>
      <c r="AP61" s="3" t="s">
        <v>87</v>
      </c>
      <c r="AQ61" s="3">
        <v>46213</v>
      </c>
      <c r="AR61" s="3" t="s">
        <v>88</v>
      </c>
      <c r="AS61" s="3" t="s">
        <v>95</v>
      </c>
      <c r="AT61" s="3" t="s">
        <v>100</v>
      </c>
      <c r="AU61" s="3" t="s">
        <v>73</v>
      </c>
      <c r="AV61" s="3" t="s">
        <v>95</v>
      </c>
      <c r="AW61" s="3" t="s">
        <v>101</v>
      </c>
      <c r="AX61" s="3" t="s">
        <v>75</v>
      </c>
      <c r="AY61" s="3" t="s">
        <v>76</v>
      </c>
    </row>
    <row r="62" spans="1:51" ht="140">
      <c r="A62" t="s">
        <v>288</v>
      </c>
      <c r="B62" t="s">
        <v>289</v>
      </c>
      <c r="C62" t="s">
        <v>260</v>
      </c>
      <c r="D62" t="s">
        <v>54</v>
      </c>
      <c r="E62" t="s">
        <v>94</v>
      </c>
      <c r="F62" s="4">
        <v>36.727519999999998</v>
      </c>
      <c r="G62" s="4">
        <v>28.275790000000001</v>
      </c>
      <c r="H62" s="5">
        <v>3.9</v>
      </c>
      <c r="I62" t="s">
        <v>56</v>
      </c>
      <c r="J62" t="s">
        <v>57</v>
      </c>
      <c r="K62" t="s">
        <v>57</v>
      </c>
      <c r="L62" t="s">
        <v>71</v>
      </c>
      <c r="M62" t="s">
        <v>95</v>
      </c>
      <c r="N62" t="s">
        <v>71</v>
      </c>
      <c r="O62" t="s">
        <v>57</v>
      </c>
      <c r="P62" t="s">
        <v>57</v>
      </c>
      <c r="Q62" s="5"/>
      <c r="R62" s="5"/>
      <c r="S62" t="s">
        <v>113</v>
      </c>
      <c r="T62" t="s">
        <v>114</v>
      </c>
      <c r="U62" t="s">
        <v>115</v>
      </c>
      <c r="V62" t="s">
        <v>98</v>
      </c>
      <c r="W62" s="10"/>
      <c r="X62" t="s">
        <v>98</v>
      </c>
      <c r="Y62" t="s">
        <v>98</v>
      </c>
      <c r="Z62" t="s">
        <v>98</v>
      </c>
      <c r="AA62" t="s">
        <v>98</v>
      </c>
      <c r="AB62" t="s">
        <v>98</v>
      </c>
      <c r="AC62" t="s">
        <v>98</v>
      </c>
      <c r="AD62" t="s">
        <v>98</v>
      </c>
      <c r="AE62" t="s">
        <v>98</v>
      </c>
      <c r="AF62" t="s">
        <v>123</v>
      </c>
      <c r="AG62" t="s">
        <v>63</v>
      </c>
      <c r="AH62" s="3"/>
      <c r="AI62" s="3" t="s">
        <v>290</v>
      </c>
      <c r="AJ62" s="3" t="s">
        <v>65</v>
      </c>
      <c r="AK62" s="3" t="s">
        <v>62</v>
      </c>
      <c r="AL62" s="3" t="s">
        <v>62</v>
      </c>
      <c r="AM62" s="3" t="s">
        <v>85</v>
      </c>
      <c r="AN62" s="3" t="s">
        <v>67</v>
      </c>
      <c r="AO62" s="3" t="s">
        <v>86</v>
      </c>
      <c r="AP62" s="3" t="s">
        <v>87</v>
      </c>
      <c r="AQ62" s="3">
        <v>46213</v>
      </c>
      <c r="AR62" s="3" t="s">
        <v>88</v>
      </c>
      <c r="AS62" s="3" t="s">
        <v>95</v>
      </c>
      <c r="AT62" s="3" t="s">
        <v>100</v>
      </c>
      <c r="AU62" s="3" t="s">
        <v>73</v>
      </c>
      <c r="AV62" s="3" t="s">
        <v>95</v>
      </c>
      <c r="AW62" s="3" t="s">
        <v>101</v>
      </c>
      <c r="AX62" s="3" t="s">
        <v>75</v>
      </c>
      <c r="AY62" s="3" t="s">
        <v>76</v>
      </c>
    </row>
    <row r="63" spans="1:51" ht="140">
      <c r="A63" t="s">
        <v>291</v>
      </c>
      <c r="B63" t="s">
        <v>292</v>
      </c>
      <c r="C63" t="s">
        <v>260</v>
      </c>
      <c r="D63" t="s">
        <v>54</v>
      </c>
      <c r="E63" t="s">
        <v>94</v>
      </c>
      <c r="F63" s="4">
        <v>36.730719999999998</v>
      </c>
      <c r="G63" s="4">
        <v>28.21773</v>
      </c>
      <c r="H63" s="5">
        <v>3.4</v>
      </c>
      <c r="I63" t="s">
        <v>56</v>
      </c>
      <c r="J63" t="s">
        <v>57</v>
      </c>
      <c r="K63" t="s">
        <v>57</v>
      </c>
      <c r="L63" t="s">
        <v>71</v>
      </c>
      <c r="M63" t="s">
        <v>95</v>
      </c>
      <c r="N63" t="s">
        <v>71</v>
      </c>
      <c r="O63" t="s">
        <v>57</v>
      </c>
      <c r="P63" t="s">
        <v>57</v>
      </c>
      <c r="Q63" s="5"/>
      <c r="R63" s="5"/>
      <c r="S63" t="s">
        <v>58</v>
      </c>
      <c r="T63" t="s">
        <v>57</v>
      </c>
      <c r="U63" t="s">
        <v>104</v>
      </c>
      <c r="V63" t="s">
        <v>98</v>
      </c>
      <c r="W63" s="10"/>
      <c r="X63" t="s">
        <v>98</v>
      </c>
      <c r="Y63" t="s">
        <v>98</v>
      </c>
      <c r="Z63" t="s">
        <v>98</v>
      </c>
      <c r="AA63" t="s">
        <v>98</v>
      </c>
      <c r="AB63" t="s">
        <v>98</v>
      </c>
      <c r="AC63" t="s">
        <v>98</v>
      </c>
      <c r="AD63" t="s">
        <v>98</v>
      </c>
      <c r="AE63" t="s">
        <v>98</v>
      </c>
      <c r="AF63" t="s">
        <v>123</v>
      </c>
      <c r="AG63" t="s">
        <v>123</v>
      </c>
      <c r="AH63" s="3"/>
      <c r="AI63" s="3" t="s">
        <v>293</v>
      </c>
      <c r="AJ63" s="3" t="s">
        <v>65</v>
      </c>
      <c r="AK63" s="3" t="s">
        <v>62</v>
      </c>
      <c r="AL63" s="3" t="s">
        <v>62</v>
      </c>
      <c r="AM63" s="3" t="s">
        <v>85</v>
      </c>
      <c r="AN63" s="3" t="s">
        <v>67</v>
      </c>
      <c r="AO63" s="3" t="s">
        <v>86</v>
      </c>
      <c r="AP63" s="3" t="s">
        <v>87</v>
      </c>
      <c r="AQ63" s="3">
        <v>46213</v>
      </c>
      <c r="AR63" s="3" t="s">
        <v>88</v>
      </c>
      <c r="AS63" s="3" t="s">
        <v>95</v>
      </c>
      <c r="AT63" s="3" t="s">
        <v>100</v>
      </c>
      <c r="AU63" s="3" t="s">
        <v>73</v>
      </c>
      <c r="AV63" s="3" t="s">
        <v>95</v>
      </c>
      <c r="AW63" s="3" t="s">
        <v>101</v>
      </c>
      <c r="AX63" s="3" t="s">
        <v>75</v>
      </c>
      <c r="AY63" s="3" t="s">
        <v>76</v>
      </c>
    </row>
    <row r="64" spans="1:51" ht="140">
      <c r="A64" t="s">
        <v>294</v>
      </c>
      <c r="B64" t="s">
        <v>295</v>
      </c>
      <c r="C64" t="s">
        <v>296</v>
      </c>
      <c r="D64" t="s">
        <v>54</v>
      </c>
      <c r="E64" t="s">
        <v>55</v>
      </c>
      <c r="F64" s="4">
        <v>36.752000000000002</v>
      </c>
      <c r="G64" s="4">
        <v>28.940999999999999</v>
      </c>
      <c r="H64" s="5">
        <v>4</v>
      </c>
      <c r="I64" t="s">
        <v>56</v>
      </c>
      <c r="J64" t="s">
        <v>56</v>
      </c>
      <c r="K64" t="s">
        <v>56</v>
      </c>
      <c r="L64" t="s">
        <v>56</v>
      </c>
      <c r="M64" t="s">
        <v>57</v>
      </c>
      <c r="N64" t="s">
        <v>56</v>
      </c>
      <c r="O64" t="s">
        <v>56</v>
      </c>
      <c r="P64" t="s">
        <v>56</v>
      </c>
      <c r="Q64" s="5"/>
      <c r="R64" s="5"/>
      <c r="S64" t="s">
        <v>140</v>
      </c>
      <c r="T64" t="s">
        <v>59</v>
      </c>
      <c r="U64" t="s">
        <v>60</v>
      </c>
      <c r="V64" t="s">
        <v>297</v>
      </c>
      <c r="W64" s="10"/>
      <c r="X64" t="s">
        <v>62</v>
      </c>
      <c r="Y64" t="s">
        <v>62</v>
      </c>
      <c r="Z64" t="s">
        <v>62</v>
      </c>
      <c r="AA64" t="s">
        <v>62</v>
      </c>
      <c r="AB64" t="s">
        <v>62</v>
      </c>
      <c r="AC64" t="s">
        <v>62</v>
      </c>
      <c r="AD64" t="s">
        <v>62</v>
      </c>
      <c r="AE64" t="s">
        <v>62</v>
      </c>
      <c r="AF64" t="s">
        <v>63</v>
      </c>
      <c r="AG64" t="s">
        <v>63</v>
      </c>
      <c r="AH64" s="3"/>
      <c r="AI64" s="3" t="s">
        <v>298</v>
      </c>
      <c r="AJ64" s="3" t="s">
        <v>65</v>
      </c>
      <c r="AK64" s="3" t="s">
        <v>62</v>
      </c>
      <c r="AL64" s="3" t="s">
        <v>62</v>
      </c>
      <c r="AM64" s="3" t="s">
        <v>66</v>
      </c>
      <c r="AN64" s="3" t="s">
        <v>67</v>
      </c>
      <c r="AO64" s="3" t="s">
        <v>68</v>
      </c>
      <c r="AP64" s="3" t="s">
        <v>69</v>
      </c>
      <c r="AQ64" s="3">
        <v>46213</v>
      </c>
      <c r="AR64" s="3" t="s">
        <v>70</v>
      </c>
      <c r="AS64" s="3" t="s">
        <v>71</v>
      </c>
      <c r="AT64" s="3" t="s">
        <v>72</v>
      </c>
      <c r="AU64" s="3" t="s">
        <v>73</v>
      </c>
      <c r="AV64" s="3" t="s">
        <v>71</v>
      </c>
      <c r="AW64" s="3" t="s">
        <v>74</v>
      </c>
      <c r="AX64" s="3" t="s">
        <v>75</v>
      </c>
      <c r="AY64" s="3" t="s">
        <v>76</v>
      </c>
    </row>
    <row r="65" spans="1:51" ht="140">
      <c r="A65" t="s">
        <v>299</v>
      </c>
      <c r="B65" t="s">
        <v>300</v>
      </c>
      <c r="C65" t="s">
        <v>296</v>
      </c>
      <c r="D65" t="s">
        <v>54</v>
      </c>
      <c r="E65" t="s">
        <v>94</v>
      </c>
      <c r="F65" s="4">
        <v>36.68</v>
      </c>
      <c r="G65" s="4">
        <v>29.01247</v>
      </c>
      <c r="H65" s="5">
        <v>4.0999999999999996</v>
      </c>
      <c r="I65" t="s">
        <v>56</v>
      </c>
      <c r="J65" t="s">
        <v>57</v>
      </c>
      <c r="K65" t="s">
        <v>57</v>
      </c>
      <c r="L65" t="s">
        <v>71</v>
      </c>
      <c r="M65" t="s">
        <v>95</v>
      </c>
      <c r="N65" t="s">
        <v>71</v>
      </c>
      <c r="O65" t="s">
        <v>57</v>
      </c>
      <c r="P65" t="s">
        <v>57</v>
      </c>
      <c r="Q65" s="5"/>
      <c r="R65" s="5"/>
      <c r="S65" t="s">
        <v>80</v>
      </c>
      <c r="T65" t="s">
        <v>57</v>
      </c>
      <c r="U65" t="s">
        <v>122</v>
      </c>
      <c r="V65" t="s">
        <v>141</v>
      </c>
      <c r="W65" s="10"/>
      <c r="X65" t="s">
        <v>98</v>
      </c>
      <c r="Y65" t="s">
        <v>98</v>
      </c>
      <c r="Z65" t="s">
        <v>98</v>
      </c>
      <c r="AA65" t="s">
        <v>98</v>
      </c>
      <c r="AB65" t="s">
        <v>98</v>
      </c>
      <c r="AC65" t="s">
        <v>98</v>
      </c>
      <c r="AD65" t="s">
        <v>98</v>
      </c>
      <c r="AE65" t="s">
        <v>98</v>
      </c>
      <c r="AF65" t="s">
        <v>63</v>
      </c>
      <c r="AG65" t="s">
        <v>63</v>
      </c>
      <c r="AH65" s="3"/>
      <c r="AI65" s="3" t="s">
        <v>301</v>
      </c>
      <c r="AJ65" s="3" t="s">
        <v>65</v>
      </c>
      <c r="AK65" s="3" t="s">
        <v>62</v>
      </c>
      <c r="AL65" s="3" t="s">
        <v>62</v>
      </c>
      <c r="AM65" s="3" t="s">
        <v>85</v>
      </c>
      <c r="AN65" s="3" t="s">
        <v>67</v>
      </c>
      <c r="AO65" s="3" t="s">
        <v>86</v>
      </c>
      <c r="AP65" s="3" t="s">
        <v>87</v>
      </c>
      <c r="AQ65" s="3">
        <v>46213</v>
      </c>
      <c r="AR65" s="3" t="s">
        <v>88</v>
      </c>
      <c r="AS65" s="3" t="s">
        <v>95</v>
      </c>
      <c r="AT65" s="3" t="s">
        <v>100</v>
      </c>
      <c r="AU65" s="3" t="s">
        <v>73</v>
      </c>
      <c r="AV65" s="3" t="s">
        <v>95</v>
      </c>
      <c r="AW65" s="3" t="s">
        <v>101</v>
      </c>
      <c r="AX65" s="3" t="s">
        <v>75</v>
      </c>
      <c r="AY65" s="3" t="s">
        <v>76</v>
      </c>
    </row>
    <row r="66" spans="1:51" ht="140">
      <c r="A66" t="s">
        <v>302</v>
      </c>
      <c r="B66" t="s">
        <v>303</v>
      </c>
      <c r="C66" t="s">
        <v>296</v>
      </c>
      <c r="D66" t="s">
        <v>54</v>
      </c>
      <c r="E66" t="s">
        <v>55</v>
      </c>
      <c r="F66" s="4">
        <v>36.68676</v>
      </c>
      <c r="G66" s="4">
        <v>28.99081</v>
      </c>
      <c r="H66" s="5">
        <v>4</v>
      </c>
      <c r="I66" t="s">
        <v>56</v>
      </c>
      <c r="J66" t="s">
        <v>56</v>
      </c>
      <c r="K66" t="s">
        <v>56</v>
      </c>
      <c r="L66" t="s">
        <v>56</v>
      </c>
      <c r="M66" t="s">
        <v>57</v>
      </c>
      <c r="N66" t="s">
        <v>56</v>
      </c>
      <c r="O66" t="s">
        <v>56</v>
      </c>
      <c r="P66" t="s">
        <v>56</v>
      </c>
      <c r="Q66" s="5"/>
      <c r="R66" s="5"/>
      <c r="S66" t="s">
        <v>58</v>
      </c>
      <c r="T66" t="s">
        <v>59</v>
      </c>
      <c r="U66" t="s">
        <v>60</v>
      </c>
      <c r="V66" t="s">
        <v>61</v>
      </c>
      <c r="W66" s="10"/>
      <c r="X66" t="s">
        <v>62</v>
      </c>
      <c r="Y66" t="s">
        <v>62</v>
      </c>
      <c r="Z66" t="s">
        <v>62</v>
      </c>
      <c r="AA66" t="s">
        <v>62</v>
      </c>
      <c r="AB66" t="s">
        <v>62</v>
      </c>
      <c r="AC66" t="s">
        <v>62</v>
      </c>
      <c r="AD66" t="s">
        <v>62</v>
      </c>
      <c r="AE66" t="s">
        <v>62</v>
      </c>
      <c r="AF66" t="s">
        <v>63</v>
      </c>
      <c r="AG66" t="s">
        <v>63</v>
      </c>
      <c r="AH66" s="3"/>
      <c r="AI66" s="3" t="s">
        <v>304</v>
      </c>
      <c r="AJ66" s="3" t="s">
        <v>65</v>
      </c>
      <c r="AK66" s="3" t="s">
        <v>62</v>
      </c>
      <c r="AL66" s="3" t="s">
        <v>62</v>
      </c>
      <c r="AM66" s="3" t="s">
        <v>85</v>
      </c>
      <c r="AN66" s="3" t="s">
        <v>67</v>
      </c>
      <c r="AO66" s="3" t="s">
        <v>86</v>
      </c>
      <c r="AP66" s="3" t="s">
        <v>87</v>
      </c>
      <c r="AQ66" s="3">
        <v>46213</v>
      </c>
      <c r="AR66" s="3" t="s">
        <v>88</v>
      </c>
      <c r="AS66" s="3" t="s">
        <v>71</v>
      </c>
      <c r="AT66" s="3" t="s">
        <v>72</v>
      </c>
      <c r="AU66" s="3" t="s">
        <v>73</v>
      </c>
      <c r="AV66" s="3" t="s">
        <v>71</v>
      </c>
      <c r="AW66" s="3" t="s">
        <v>74</v>
      </c>
      <c r="AX66" s="3" t="s">
        <v>75</v>
      </c>
      <c r="AY66" s="3" t="s">
        <v>76</v>
      </c>
    </row>
    <row r="67" spans="1:51" ht="140">
      <c r="A67" t="s">
        <v>305</v>
      </c>
      <c r="B67" t="s">
        <v>306</v>
      </c>
      <c r="C67" t="s">
        <v>296</v>
      </c>
      <c r="D67" t="s">
        <v>54</v>
      </c>
      <c r="E67" t="s">
        <v>94</v>
      </c>
      <c r="F67" s="4">
        <v>36.67004</v>
      </c>
      <c r="G67" s="4">
        <v>29.001090000000001</v>
      </c>
      <c r="H67" s="5">
        <v>4</v>
      </c>
      <c r="I67" t="s">
        <v>56</v>
      </c>
      <c r="J67" t="s">
        <v>57</v>
      </c>
      <c r="K67" t="s">
        <v>57</v>
      </c>
      <c r="L67" t="s">
        <v>71</v>
      </c>
      <c r="M67" t="s">
        <v>95</v>
      </c>
      <c r="N67" t="s">
        <v>71</v>
      </c>
      <c r="O67" t="s">
        <v>57</v>
      </c>
      <c r="P67" t="s">
        <v>57</v>
      </c>
      <c r="Q67" s="5"/>
      <c r="R67" s="5"/>
      <c r="S67" t="s">
        <v>58</v>
      </c>
      <c r="T67" t="s">
        <v>57</v>
      </c>
      <c r="U67" t="s">
        <v>104</v>
      </c>
      <c r="V67" t="s">
        <v>98</v>
      </c>
      <c r="W67" s="10"/>
      <c r="X67" t="s">
        <v>98</v>
      </c>
      <c r="Y67" t="s">
        <v>98</v>
      </c>
      <c r="Z67" t="s">
        <v>98</v>
      </c>
      <c r="AA67" t="s">
        <v>98</v>
      </c>
      <c r="AB67" t="s">
        <v>98</v>
      </c>
      <c r="AC67" t="s">
        <v>98</v>
      </c>
      <c r="AD67" t="s">
        <v>98</v>
      </c>
      <c r="AE67" t="s">
        <v>98</v>
      </c>
      <c r="AF67" t="s">
        <v>123</v>
      </c>
      <c r="AG67" t="s">
        <v>63</v>
      </c>
      <c r="AH67" s="3"/>
      <c r="AI67" s="3" t="s">
        <v>307</v>
      </c>
      <c r="AJ67" s="3" t="s">
        <v>65</v>
      </c>
      <c r="AK67" s="3" t="s">
        <v>62</v>
      </c>
      <c r="AL67" s="3" t="s">
        <v>62</v>
      </c>
      <c r="AM67" s="3" t="s">
        <v>85</v>
      </c>
      <c r="AN67" s="3" t="s">
        <v>67</v>
      </c>
      <c r="AO67" s="3" t="s">
        <v>86</v>
      </c>
      <c r="AP67" s="3" t="s">
        <v>87</v>
      </c>
      <c r="AQ67" s="3">
        <v>46213</v>
      </c>
      <c r="AR67" s="3" t="s">
        <v>88</v>
      </c>
      <c r="AS67" s="3" t="s">
        <v>95</v>
      </c>
      <c r="AT67" s="3" t="s">
        <v>100</v>
      </c>
      <c r="AU67" s="3" t="s">
        <v>73</v>
      </c>
      <c r="AV67" s="3" t="s">
        <v>95</v>
      </c>
      <c r="AW67" s="3" t="s">
        <v>101</v>
      </c>
      <c r="AX67" s="3" t="s">
        <v>75</v>
      </c>
      <c r="AY67" s="3" t="s">
        <v>76</v>
      </c>
    </row>
    <row r="68" spans="1:51" ht="140">
      <c r="A68" t="s">
        <v>308</v>
      </c>
      <c r="B68" t="s">
        <v>309</v>
      </c>
      <c r="C68" t="s">
        <v>296</v>
      </c>
      <c r="D68" t="s">
        <v>54</v>
      </c>
      <c r="E68" t="s">
        <v>94</v>
      </c>
      <c r="F68" s="4">
        <v>36.692689999999999</v>
      </c>
      <c r="G68" s="4">
        <v>29.012149999999998</v>
      </c>
      <c r="H68" s="5">
        <v>3.5</v>
      </c>
      <c r="I68" t="s">
        <v>56</v>
      </c>
      <c r="J68" t="s">
        <v>57</v>
      </c>
      <c r="K68" t="s">
        <v>57</v>
      </c>
      <c r="L68" t="s">
        <v>71</v>
      </c>
      <c r="M68" t="s">
        <v>95</v>
      </c>
      <c r="N68" t="s">
        <v>71</v>
      </c>
      <c r="O68" t="s">
        <v>57</v>
      </c>
      <c r="P68" t="s">
        <v>57</v>
      </c>
      <c r="Q68" s="5"/>
      <c r="R68" s="5"/>
      <c r="S68" t="s">
        <v>58</v>
      </c>
      <c r="T68" t="s">
        <v>57</v>
      </c>
      <c r="U68" t="s">
        <v>104</v>
      </c>
      <c r="V68" t="s">
        <v>98</v>
      </c>
      <c r="W68" s="10"/>
      <c r="X68" t="s">
        <v>98</v>
      </c>
      <c r="Y68" t="s">
        <v>98</v>
      </c>
      <c r="Z68" t="s">
        <v>98</v>
      </c>
      <c r="AA68" t="s">
        <v>98</v>
      </c>
      <c r="AB68" t="s">
        <v>98</v>
      </c>
      <c r="AC68" t="s">
        <v>98</v>
      </c>
      <c r="AD68" t="s">
        <v>98</v>
      </c>
      <c r="AE68" t="s">
        <v>98</v>
      </c>
      <c r="AF68" t="s">
        <v>123</v>
      </c>
      <c r="AG68" t="s">
        <v>123</v>
      </c>
      <c r="AH68" s="3"/>
      <c r="AI68" s="3" t="s">
        <v>310</v>
      </c>
      <c r="AJ68" s="3" t="s">
        <v>65</v>
      </c>
      <c r="AK68" s="3" t="s">
        <v>62</v>
      </c>
      <c r="AL68" s="3" t="s">
        <v>62</v>
      </c>
      <c r="AM68" s="3" t="s">
        <v>85</v>
      </c>
      <c r="AN68" s="3" t="s">
        <v>67</v>
      </c>
      <c r="AO68" s="3" t="s">
        <v>86</v>
      </c>
      <c r="AP68" s="3" t="s">
        <v>87</v>
      </c>
      <c r="AQ68" s="3">
        <v>46213</v>
      </c>
      <c r="AR68" s="3" t="s">
        <v>88</v>
      </c>
      <c r="AS68" s="3" t="s">
        <v>95</v>
      </c>
      <c r="AT68" s="3" t="s">
        <v>100</v>
      </c>
      <c r="AU68" s="3" t="s">
        <v>73</v>
      </c>
      <c r="AV68" s="3" t="s">
        <v>95</v>
      </c>
      <c r="AW68" s="3" t="s">
        <v>101</v>
      </c>
      <c r="AX68" s="3" t="s">
        <v>75</v>
      </c>
      <c r="AY68" s="3" t="s">
        <v>76</v>
      </c>
    </row>
    <row r="69" spans="1:51" ht="140">
      <c r="A69" t="s">
        <v>311</v>
      </c>
      <c r="B69" t="s">
        <v>312</v>
      </c>
      <c r="C69" t="s">
        <v>296</v>
      </c>
      <c r="D69" t="s">
        <v>54</v>
      </c>
      <c r="E69" t="s">
        <v>94</v>
      </c>
      <c r="F69" s="4">
        <v>36.677219999999998</v>
      </c>
      <c r="G69" s="4">
        <v>28.980350000000001</v>
      </c>
      <c r="H69" s="5">
        <v>3.4</v>
      </c>
      <c r="I69" t="s">
        <v>56</v>
      </c>
      <c r="J69" t="s">
        <v>57</v>
      </c>
      <c r="K69" t="s">
        <v>57</v>
      </c>
      <c r="L69" t="s">
        <v>71</v>
      </c>
      <c r="M69" t="s">
        <v>95</v>
      </c>
      <c r="N69" t="s">
        <v>71</v>
      </c>
      <c r="O69" t="s">
        <v>57</v>
      </c>
      <c r="P69" t="s">
        <v>57</v>
      </c>
      <c r="Q69" s="5"/>
      <c r="R69" s="5"/>
      <c r="S69" t="s">
        <v>113</v>
      </c>
      <c r="T69" t="s">
        <v>114</v>
      </c>
      <c r="U69" t="s">
        <v>115</v>
      </c>
      <c r="V69" t="s">
        <v>98</v>
      </c>
      <c r="W69" s="10"/>
      <c r="X69" t="s">
        <v>98</v>
      </c>
      <c r="Y69" t="s">
        <v>98</v>
      </c>
      <c r="Z69" t="s">
        <v>98</v>
      </c>
      <c r="AA69" t="s">
        <v>98</v>
      </c>
      <c r="AB69" t="s">
        <v>98</v>
      </c>
      <c r="AC69" t="s">
        <v>98</v>
      </c>
      <c r="AD69" t="s">
        <v>98</v>
      </c>
      <c r="AE69" t="s">
        <v>98</v>
      </c>
      <c r="AF69" t="s">
        <v>123</v>
      </c>
      <c r="AG69" t="s">
        <v>63</v>
      </c>
      <c r="AH69" s="3"/>
      <c r="AI69" s="3" t="s">
        <v>313</v>
      </c>
      <c r="AJ69" s="3" t="s">
        <v>65</v>
      </c>
      <c r="AK69" s="3" t="s">
        <v>62</v>
      </c>
      <c r="AL69" s="3" t="s">
        <v>62</v>
      </c>
      <c r="AM69" s="3" t="s">
        <v>85</v>
      </c>
      <c r="AN69" s="3" t="s">
        <v>67</v>
      </c>
      <c r="AO69" s="3" t="s">
        <v>86</v>
      </c>
      <c r="AP69" s="3" t="s">
        <v>87</v>
      </c>
      <c r="AQ69" s="3">
        <v>46213</v>
      </c>
      <c r="AR69" s="3" t="s">
        <v>88</v>
      </c>
      <c r="AS69" s="3" t="s">
        <v>95</v>
      </c>
      <c r="AT69" s="3" t="s">
        <v>100</v>
      </c>
      <c r="AU69" s="3" t="s">
        <v>73</v>
      </c>
      <c r="AV69" s="3" t="s">
        <v>95</v>
      </c>
      <c r="AW69" s="3" t="s">
        <v>101</v>
      </c>
      <c r="AX69" s="3" t="s">
        <v>75</v>
      </c>
      <c r="AY69" s="3" t="s">
        <v>76</v>
      </c>
    </row>
    <row r="70" spans="1:51" ht="140">
      <c r="A70" t="s">
        <v>314</v>
      </c>
      <c r="B70" t="s">
        <v>315</v>
      </c>
      <c r="C70" t="s">
        <v>296</v>
      </c>
      <c r="D70" t="s">
        <v>54</v>
      </c>
      <c r="E70" t="s">
        <v>94</v>
      </c>
      <c r="F70" s="4">
        <v>36.671399999999998</v>
      </c>
      <c r="G70" s="4">
        <v>29.016829999999999</v>
      </c>
      <c r="H70" s="5">
        <v>4.0999999999999996</v>
      </c>
      <c r="I70" t="s">
        <v>56</v>
      </c>
      <c r="J70" t="s">
        <v>57</v>
      </c>
      <c r="K70" t="s">
        <v>57</v>
      </c>
      <c r="L70" t="s">
        <v>71</v>
      </c>
      <c r="M70" t="s">
        <v>95</v>
      </c>
      <c r="N70" t="s">
        <v>71</v>
      </c>
      <c r="O70" t="s">
        <v>71</v>
      </c>
      <c r="P70" t="s">
        <v>57</v>
      </c>
      <c r="Q70" s="5"/>
      <c r="R70" s="5"/>
      <c r="S70" t="s">
        <v>58</v>
      </c>
      <c r="T70" t="s">
        <v>57</v>
      </c>
      <c r="U70" t="s">
        <v>104</v>
      </c>
      <c r="V70" t="s">
        <v>98</v>
      </c>
      <c r="W70" s="10"/>
      <c r="X70" t="s">
        <v>98</v>
      </c>
      <c r="Y70" t="s">
        <v>98</v>
      </c>
      <c r="Z70" t="s">
        <v>98</v>
      </c>
      <c r="AA70" t="s">
        <v>98</v>
      </c>
      <c r="AB70" t="s">
        <v>98</v>
      </c>
      <c r="AC70" t="s">
        <v>98</v>
      </c>
      <c r="AD70" t="s">
        <v>98</v>
      </c>
      <c r="AE70" t="s">
        <v>98</v>
      </c>
      <c r="AF70" t="s">
        <v>123</v>
      </c>
      <c r="AG70" t="s">
        <v>123</v>
      </c>
      <c r="AH70" s="3"/>
      <c r="AI70" s="3" t="s">
        <v>316</v>
      </c>
      <c r="AJ70" s="3" t="s">
        <v>65</v>
      </c>
      <c r="AK70" s="3" t="s">
        <v>62</v>
      </c>
      <c r="AL70" s="3" t="s">
        <v>62</v>
      </c>
      <c r="AM70" s="3" t="s">
        <v>85</v>
      </c>
      <c r="AN70" s="3" t="s">
        <v>67</v>
      </c>
      <c r="AO70" s="3" t="s">
        <v>86</v>
      </c>
      <c r="AP70" s="3" t="s">
        <v>87</v>
      </c>
      <c r="AQ70" s="3">
        <v>46213</v>
      </c>
      <c r="AR70" s="3" t="s">
        <v>88</v>
      </c>
      <c r="AS70" s="3" t="s">
        <v>95</v>
      </c>
      <c r="AT70" s="3" t="s">
        <v>100</v>
      </c>
      <c r="AU70" s="3" t="s">
        <v>73</v>
      </c>
      <c r="AV70" s="3" t="s">
        <v>95</v>
      </c>
      <c r="AW70" s="3" t="s">
        <v>101</v>
      </c>
      <c r="AX70" s="3" t="s">
        <v>75</v>
      </c>
      <c r="AY70" s="3" t="s">
        <v>76</v>
      </c>
    </row>
    <row r="71" spans="1:51" ht="140">
      <c r="A71" t="s">
        <v>317</v>
      </c>
      <c r="B71" t="s">
        <v>318</v>
      </c>
      <c r="C71" t="s">
        <v>296</v>
      </c>
      <c r="D71" t="s">
        <v>54</v>
      </c>
      <c r="E71" t="s">
        <v>94</v>
      </c>
      <c r="F71" s="4">
        <v>36.701250000000002</v>
      </c>
      <c r="G71" s="4">
        <v>28.992899999999999</v>
      </c>
      <c r="H71" s="5">
        <v>3.6</v>
      </c>
      <c r="I71" t="s">
        <v>56</v>
      </c>
      <c r="J71" t="s">
        <v>57</v>
      </c>
      <c r="K71" t="s">
        <v>57</v>
      </c>
      <c r="L71" t="s">
        <v>71</v>
      </c>
      <c r="M71" t="s">
        <v>95</v>
      </c>
      <c r="N71" t="s">
        <v>71</v>
      </c>
      <c r="O71" t="s">
        <v>71</v>
      </c>
      <c r="P71" t="s">
        <v>57</v>
      </c>
      <c r="Q71" s="5"/>
      <c r="R71" s="5"/>
      <c r="S71" t="s">
        <v>58</v>
      </c>
      <c r="T71" t="s">
        <v>57</v>
      </c>
      <c r="U71" t="s">
        <v>104</v>
      </c>
      <c r="V71" t="s">
        <v>98</v>
      </c>
      <c r="W71" s="10"/>
      <c r="X71" t="s">
        <v>98</v>
      </c>
      <c r="Y71" t="s">
        <v>98</v>
      </c>
      <c r="Z71" t="s">
        <v>98</v>
      </c>
      <c r="AA71" t="s">
        <v>98</v>
      </c>
      <c r="AB71" t="s">
        <v>98</v>
      </c>
      <c r="AC71" t="s">
        <v>98</v>
      </c>
      <c r="AD71" t="s">
        <v>98</v>
      </c>
      <c r="AE71" t="s">
        <v>98</v>
      </c>
      <c r="AF71" t="s">
        <v>123</v>
      </c>
      <c r="AG71" t="s">
        <v>63</v>
      </c>
      <c r="AH71" s="3"/>
      <c r="AI71" s="3" t="s">
        <v>319</v>
      </c>
      <c r="AJ71" s="3" t="s">
        <v>65</v>
      </c>
      <c r="AK71" s="3" t="s">
        <v>62</v>
      </c>
      <c r="AL71" s="3" t="s">
        <v>62</v>
      </c>
      <c r="AM71" s="3" t="s">
        <v>85</v>
      </c>
      <c r="AN71" s="3" t="s">
        <v>67</v>
      </c>
      <c r="AO71" s="3" t="s">
        <v>86</v>
      </c>
      <c r="AP71" s="3" t="s">
        <v>87</v>
      </c>
      <c r="AQ71" s="3">
        <v>46213</v>
      </c>
      <c r="AR71" s="3" t="s">
        <v>88</v>
      </c>
      <c r="AS71" s="3" t="s">
        <v>95</v>
      </c>
      <c r="AT71" s="3" t="s">
        <v>100</v>
      </c>
      <c r="AU71" s="3" t="s">
        <v>73</v>
      </c>
      <c r="AV71" s="3" t="s">
        <v>95</v>
      </c>
      <c r="AW71" s="3" t="s">
        <v>101</v>
      </c>
      <c r="AX71" s="3" t="s">
        <v>75</v>
      </c>
      <c r="AY71" s="3" t="s">
        <v>76</v>
      </c>
    </row>
    <row r="72" spans="1:51" ht="140">
      <c r="A72" t="s">
        <v>320</v>
      </c>
      <c r="B72" t="s">
        <v>321</v>
      </c>
      <c r="C72" t="s">
        <v>296</v>
      </c>
      <c r="D72" t="s">
        <v>54</v>
      </c>
      <c r="E72" t="s">
        <v>94</v>
      </c>
      <c r="F72" s="4">
        <v>36.660490000000003</v>
      </c>
      <c r="G72" s="4">
        <v>28.98733</v>
      </c>
      <c r="H72" s="5">
        <v>3.6</v>
      </c>
      <c r="I72" t="s">
        <v>56</v>
      </c>
      <c r="J72" t="s">
        <v>57</v>
      </c>
      <c r="K72" t="s">
        <v>57</v>
      </c>
      <c r="L72" t="s">
        <v>71</v>
      </c>
      <c r="M72" t="s">
        <v>95</v>
      </c>
      <c r="N72" t="s">
        <v>71</v>
      </c>
      <c r="O72" t="s">
        <v>57</v>
      </c>
      <c r="P72" t="s">
        <v>57</v>
      </c>
      <c r="Q72" s="5"/>
      <c r="R72" s="5"/>
      <c r="S72" t="s">
        <v>58</v>
      </c>
      <c r="T72" t="s">
        <v>57</v>
      </c>
      <c r="U72" t="s">
        <v>104</v>
      </c>
      <c r="V72" t="s">
        <v>98</v>
      </c>
      <c r="W72" s="10"/>
      <c r="X72" t="s">
        <v>98</v>
      </c>
      <c r="Y72" t="s">
        <v>98</v>
      </c>
      <c r="Z72" t="s">
        <v>98</v>
      </c>
      <c r="AA72" t="s">
        <v>98</v>
      </c>
      <c r="AB72" t="s">
        <v>98</v>
      </c>
      <c r="AC72" t="s">
        <v>98</v>
      </c>
      <c r="AD72" t="s">
        <v>98</v>
      </c>
      <c r="AE72" t="s">
        <v>98</v>
      </c>
      <c r="AF72" t="s">
        <v>123</v>
      </c>
      <c r="AG72" t="s">
        <v>123</v>
      </c>
      <c r="AH72" s="3"/>
      <c r="AI72" s="3" t="s">
        <v>322</v>
      </c>
      <c r="AJ72" s="3" t="s">
        <v>65</v>
      </c>
      <c r="AK72" s="3" t="s">
        <v>62</v>
      </c>
      <c r="AL72" s="3" t="s">
        <v>62</v>
      </c>
      <c r="AM72" s="3" t="s">
        <v>85</v>
      </c>
      <c r="AN72" s="3" t="s">
        <v>67</v>
      </c>
      <c r="AO72" s="3" t="s">
        <v>86</v>
      </c>
      <c r="AP72" s="3" t="s">
        <v>87</v>
      </c>
      <c r="AQ72" s="3">
        <v>46213</v>
      </c>
      <c r="AR72" s="3" t="s">
        <v>88</v>
      </c>
      <c r="AS72" s="3" t="s">
        <v>95</v>
      </c>
      <c r="AT72" s="3" t="s">
        <v>100</v>
      </c>
      <c r="AU72" s="3" t="s">
        <v>73</v>
      </c>
      <c r="AV72" s="3" t="s">
        <v>95</v>
      </c>
      <c r="AW72" s="3" t="s">
        <v>101</v>
      </c>
      <c r="AX72" s="3" t="s">
        <v>75</v>
      </c>
      <c r="AY72" s="3" t="s">
        <v>76</v>
      </c>
    </row>
    <row r="73" spans="1:51" ht="140">
      <c r="A73" t="s">
        <v>323</v>
      </c>
      <c r="B73" t="s">
        <v>324</v>
      </c>
      <c r="C73" t="s">
        <v>296</v>
      </c>
      <c r="D73" t="s">
        <v>54</v>
      </c>
      <c r="E73" t="s">
        <v>94</v>
      </c>
      <c r="F73" s="4">
        <v>36.687519999999999</v>
      </c>
      <c r="G73" s="4">
        <v>29.025780000000001</v>
      </c>
      <c r="H73" s="5">
        <v>3.9</v>
      </c>
      <c r="I73" t="s">
        <v>56</v>
      </c>
      <c r="J73" t="s">
        <v>57</v>
      </c>
      <c r="K73" t="s">
        <v>57</v>
      </c>
      <c r="L73" t="s">
        <v>71</v>
      </c>
      <c r="M73" t="s">
        <v>95</v>
      </c>
      <c r="N73" t="s">
        <v>71</v>
      </c>
      <c r="O73" t="s">
        <v>71</v>
      </c>
      <c r="P73" t="s">
        <v>57</v>
      </c>
      <c r="Q73" s="5"/>
      <c r="R73" s="5"/>
      <c r="S73" t="s">
        <v>96</v>
      </c>
      <c r="T73" t="s">
        <v>57</v>
      </c>
      <c r="U73" t="s">
        <v>97</v>
      </c>
      <c r="V73" t="s">
        <v>98</v>
      </c>
      <c r="W73" s="10"/>
      <c r="X73" t="s">
        <v>98</v>
      </c>
      <c r="Y73" t="s">
        <v>98</v>
      </c>
      <c r="Z73" t="s">
        <v>98</v>
      </c>
      <c r="AA73" t="s">
        <v>98</v>
      </c>
      <c r="AB73" t="s">
        <v>98</v>
      </c>
      <c r="AC73" t="s">
        <v>98</v>
      </c>
      <c r="AD73" t="s">
        <v>98</v>
      </c>
      <c r="AE73" t="s">
        <v>98</v>
      </c>
      <c r="AF73" t="s">
        <v>123</v>
      </c>
      <c r="AG73" t="s">
        <v>123</v>
      </c>
      <c r="AH73" s="3"/>
      <c r="AI73" s="3" t="s">
        <v>325</v>
      </c>
      <c r="AJ73" s="3" t="s">
        <v>65</v>
      </c>
      <c r="AK73" s="3" t="s">
        <v>62</v>
      </c>
      <c r="AL73" s="3" t="s">
        <v>62</v>
      </c>
      <c r="AM73" s="3" t="s">
        <v>85</v>
      </c>
      <c r="AN73" s="3" t="s">
        <v>67</v>
      </c>
      <c r="AO73" s="3" t="s">
        <v>86</v>
      </c>
      <c r="AP73" s="3" t="s">
        <v>87</v>
      </c>
      <c r="AQ73" s="3">
        <v>46213</v>
      </c>
      <c r="AR73" s="3" t="s">
        <v>88</v>
      </c>
      <c r="AS73" s="3" t="s">
        <v>95</v>
      </c>
      <c r="AT73" s="3" t="s">
        <v>100</v>
      </c>
      <c r="AU73" s="3" t="s">
        <v>73</v>
      </c>
      <c r="AV73" s="3" t="s">
        <v>95</v>
      </c>
      <c r="AW73" s="3" t="s">
        <v>101</v>
      </c>
      <c r="AX73" s="3" t="s">
        <v>75</v>
      </c>
      <c r="AY73" s="3" t="s">
        <v>76</v>
      </c>
    </row>
    <row r="74" spans="1:51" ht="140">
      <c r="A74" t="s">
        <v>326</v>
      </c>
      <c r="B74" t="s">
        <v>327</v>
      </c>
      <c r="C74" t="s">
        <v>296</v>
      </c>
      <c r="D74" t="s">
        <v>54</v>
      </c>
      <c r="E74" t="s">
        <v>55</v>
      </c>
      <c r="F74" s="4">
        <v>36.624000000000002</v>
      </c>
      <c r="G74" s="4">
        <v>29.103000000000002</v>
      </c>
      <c r="H74" s="5">
        <v>3.9</v>
      </c>
      <c r="I74" t="s">
        <v>56</v>
      </c>
      <c r="J74" t="s">
        <v>56</v>
      </c>
      <c r="K74" t="s">
        <v>56</v>
      </c>
      <c r="L74" t="s">
        <v>56</v>
      </c>
      <c r="M74" t="s">
        <v>57</v>
      </c>
      <c r="N74" t="s">
        <v>56</v>
      </c>
      <c r="O74" t="s">
        <v>56</v>
      </c>
      <c r="P74" t="s">
        <v>56</v>
      </c>
      <c r="Q74" s="5"/>
      <c r="R74" s="5"/>
      <c r="S74" t="s">
        <v>140</v>
      </c>
      <c r="T74" t="s">
        <v>59</v>
      </c>
      <c r="U74" t="s">
        <v>60</v>
      </c>
      <c r="V74" t="s">
        <v>141</v>
      </c>
      <c r="W74" s="10"/>
      <c r="X74" t="s">
        <v>62</v>
      </c>
      <c r="Y74" t="s">
        <v>62</v>
      </c>
      <c r="Z74" t="s">
        <v>62</v>
      </c>
      <c r="AA74" t="s">
        <v>62</v>
      </c>
      <c r="AB74" t="s">
        <v>62</v>
      </c>
      <c r="AC74" t="s">
        <v>62</v>
      </c>
      <c r="AD74" t="s">
        <v>62</v>
      </c>
      <c r="AE74" t="s">
        <v>62</v>
      </c>
      <c r="AF74" t="s">
        <v>63</v>
      </c>
      <c r="AG74" t="s">
        <v>63</v>
      </c>
      <c r="AH74" s="3"/>
      <c r="AI74" s="3" t="s">
        <v>328</v>
      </c>
      <c r="AJ74" s="3" t="s">
        <v>65</v>
      </c>
      <c r="AK74" s="3" t="s">
        <v>62</v>
      </c>
      <c r="AL74" s="3" t="s">
        <v>62</v>
      </c>
      <c r="AM74" s="3" t="s">
        <v>66</v>
      </c>
      <c r="AN74" s="3" t="s">
        <v>67</v>
      </c>
      <c r="AO74" s="3" t="s">
        <v>68</v>
      </c>
      <c r="AP74" s="3" t="s">
        <v>69</v>
      </c>
      <c r="AQ74" s="3">
        <v>46213</v>
      </c>
      <c r="AR74" s="3" t="s">
        <v>70</v>
      </c>
      <c r="AS74" s="3" t="s">
        <v>71</v>
      </c>
      <c r="AT74" s="3" t="s">
        <v>72</v>
      </c>
      <c r="AU74" s="3" t="s">
        <v>73</v>
      </c>
      <c r="AV74" s="3" t="s">
        <v>71</v>
      </c>
      <c r="AW74" s="3" t="s">
        <v>74</v>
      </c>
      <c r="AX74" s="3" t="s">
        <v>75</v>
      </c>
      <c r="AY74" s="3" t="s">
        <v>76</v>
      </c>
    </row>
    <row r="75" spans="1:51" ht="140">
      <c r="A75" t="s">
        <v>329</v>
      </c>
      <c r="B75" t="s">
        <v>330</v>
      </c>
      <c r="C75" t="s">
        <v>296</v>
      </c>
      <c r="D75" t="s">
        <v>54</v>
      </c>
      <c r="E75" t="s">
        <v>94</v>
      </c>
      <c r="F75" s="4">
        <v>36.690719999999999</v>
      </c>
      <c r="G75" s="4">
        <v>28.967739999999999</v>
      </c>
      <c r="H75" s="5">
        <v>4.0999999999999996</v>
      </c>
      <c r="I75" t="s">
        <v>56</v>
      </c>
      <c r="J75" t="s">
        <v>57</v>
      </c>
      <c r="K75" t="s">
        <v>57</v>
      </c>
      <c r="L75" t="s">
        <v>71</v>
      </c>
      <c r="M75" t="s">
        <v>95</v>
      </c>
      <c r="N75" t="s">
        <v>71</v>
      </c>
      <c r="O75" t="s">
        <v>57</v>
      </c>
      <c r="P75" t="s">
        <v>57</v>
      </c>
      <c r="Q75" s="5"/>
      <c r="R75" s="5"/>
      <c r="S75" t="s">
        <v>80</v>
      </c>
      <c r="T75" t="s">
        <v>57</v>
      </c>
      <c r="U75" t="s">
        <v>122</v>
      </c>
      <c r="V75" t="s">
        <v>98</v>
      </c>
      <c r="W75" s="10"/>
      <c r="X75" t="s">
        <v>98</v>
      </c>
      <c r="Y75" t="s">
        <v>98</v>
      </c>
      <c r="Z75" t="s">
        <v>98</v>
      </c>
      <c r="AA75" t="s">
        <v>98</v>
      </c>
      <c r="AB75" t="s">
        <v>98</v>
      </c>
      <c r="AC75" t="s">
        <v>98</v>
      </c>
      <c r="AD75" t="s">
        <v>98</v>
      </c>
      <c r="AE75" t="s">
        <v>98</v>
      </c>
      <c r="AF75" t="s">
        <v>63</v>
      </c>
      <c r="AG75" t="s">
        <v>63</v>
      </c>
      <c r="AH75" s="3"/>
      <c r="AI75" s="3" t="s">
        <v>331</v>
      </c>
      <c r="AJ75" s="3" t="s">
        <v>65</v>
      </c>
      <c r="AK75" s="3" t="s">
        <v>62</v>
      </c>
      <c r="AL75" s="3" t="s">
        <v>62</v>
      </c>
      <c r="AM75" s="3" t="s">
        <v>85</v>
      </c>
      <c r="AN75" s="3" t="s">
        <v>67</v>
      </c>
      <c r="AO75" s="3" t="s">
        <v>86</v>
      </c>
      <c r="AP75" s="3" t="s">
        <v>87</v>
      </c>
      <c r="AQ75" s="3">
        <v>46213</v>
      </c>
      <c r="AR75" s="3" t="s">
        <v>88</v>
      </c>
      <c r="AS75" s="3" t="s">
        <v>95</v>
      </c>
      <c r="AT75" s="3" t="s">
        <v>100</v>
      </c>
      <c r="AU75" s="3" t="s">
        <v>73</v>
      </c>
      <c r="AV75" s="3" t="s">
        <v>95</v>
      </c>
      <c r="AW75" s="3" t="s">
        <v>101</v>
      </c>
      <c r="AX75" s="3" t="s">
        <v>75</v>
      </c>
      <c r="AY75" s="3" t="s">
        <v>76</v>
      </c>
    </row>
    <row r="76" spans="1:51" ht="140">
      <c r="A76" t="s">
        <v>332</v>
      </c>
      <c r="B76" t="s">
        <v>333</v>
      </c>
      <c r="C76" t="s">
        <v>334</v>
      </c>
      <c r="D76" t="s">
        <v>54</v>
      </c>
      <c r="E76" t="s">
        <v>94</v>
      </c>
      <c r="F76" s="4">
        <v>36.22</v>
      </c>
      <c r="G76" s="4">
        <v>29.862400000000001</v>
      </c>
      <c r="H76" s="5">
        <v>4</v>
      </c>
      <c r="I76" t="s">
        <v>56</v>
      </c>
      <c r="J76" t="s">
        <v>57</v>
      </c>
      <c r="K76" t="s">
        <v>57</v>
      </c>
      <c r="L76" t="s">
        <v>71</v>
      </c>
      <c r="M76" t="s">
        <v>95</v>
      </c>
      <c r="N76" t="s">
        <v>71</v>
      </c>
      <c r="O76" t="s">
        <v>57</v>
      </c>
      <c r="P76" t="s">
        <v>57</v>
      </c>
      <c r="Q76" s="5"/>
      <c r="R76" s="5"/>
      <c r="S76" t="s">
        <v>113</v>
      </c>
      <c r="T76" t="s">
        <v>114</v>
      </c>
      <c r="U76" t="s">
        <v>115</v>
      </c>
      <c r="V76" t="s">
        <v>98</v>
      </c>
      <c r="W76" s="10"/>
      <c r="X76" t="s">
        <v>98</v>
      </c>
      <c r="Y76" t="s">
        <v>98</v>
      </c>
      <c r="Z76" t="s">
        <v>98</v>
      </c>
      <c r="AA76" t="s">
        <v>98</v>
      </c>
      <c r="AB76" t="s">
        <v>98</v>
      </c>
      <c r="AC76" t="s">
        <v>98</v>
      </c>
      <c r="AD76" t="s">
        <v>98</v>
      </c>
      <c r="AE76" t="s">
        <v>98</v>
      </c>
      <c r="AF76" t="s">
        <v>63</v>
      </c>
      <c r="AG76" t="s">
        <v>63</v>
      </c>
      <c r="AH76" s="3"/>
      <c r="AI76" s="3" t="s">
        <v>335</v>
      </c>
      <c r="AJ76" s="3" t="s">
        <v>65</v>
      </c>
      <c r="AK76" s="3" t="s">
        <v>62</v>
      </c>
      <c r="AL76" s="3" t="s">
        <v>62</v>
      </c>
      <c r="AM76" s="3" t="s">
        <v>85</v>
      </c>
      <c r="AN76" s="3" t="s">
        <v>67</v>
      </c>
      <c r="AO76" s="3" t="s">
        <v>86</v>
      </c>
      <c r="AP76" s="3" t="s">
        <v>87</v>
      </c>
      <c r="AQ76" s="3">
        <v>46213</v>
      </c>
      <c r="AR76" s="3" t="s">
        <v>88</v>
      </c>
      <c r="AS76" s="3" t="s">
        <v>95</v>
      </c>
      <c r="AT76" s="3" t="s">
        <v>100</v>
      </c>
      <c r="AU76" s="3" t="s">
        <v>73</v>
      </c>
      <c r="AV76" s="3" t="s">
        <v>95</v>
      </c>
      <c r="AW76" s="3" t="s">
        <v>101</v>
      </c>
      <c r="AX76" s="3" t="s">
        <v>75</v>
      </c>
      <c r="AY76" s="3" t="s">
        <v>76</v>
      </c>
    </row>
    <row r="77" spans="1:51" ht="140">
      <c r="A77" t="s">
        <v>336</v>
      </c>
      <c r="B77" t="s">
        <v>337</v>
      </c>
      <c r="C77" t="s">
        <v>334</v>
      </c>
      <c r="D77" t="s">
        <v>54</v>
      </c>
      <c r="E77" t="s">
        <v>79</v>
      </c>
      <c r="F77" s="4">
        <v>36.226759999999999</v>
      </c>
      <c r="G77" s="4">
        <v>29.840859999999999</v>
      </c>
      <c r="H77" s="5">
        <v>3.6</v>
      </c>
      <c r="I77" t="s">
        <v>57</v>
      </c>
      <c r="J77" t="s">
        <v>57</v>
      </c>
      <c r="K77" t="s">
        <v>57</v>
      </c>
      <c r="L77" t="s">
        <v>71</v>
      </c>
      <c r="M77" t="s">
        <v>71</v>
      </c>
      <c r="N77" t="s">
        <v>71</v>
      </c>
      <c r="O77" t="s">
        <v>57</v>
      </c>
      <c r="P77" t="s">
        <v>57</v>
      </c>
      <c r="Q77" s="5"/>
      <c r="R77" s="5"/>
      <c r="S77" t="s">
        <v>80</v>
      </c>
      <c r="T77" t="s">
        <v>81</v>
      </c>
      <c r="U77" s="6" t="s">
        <v>338</v>
      </c>
      <c r="V77" s="6" t="s">
        <v>98</v>
      </c>
      <c r="W77" s="10"/>
      <c r="X77" s="6" t="s">
        <v>83</v>
      </c>
      <c r="Y77" s="6" t="s">
        <v>83</v>
      </c>
      <c r="Z77" s="6" t="s">
        <v>83</v>
      </c>
      <c r="AA77" s="6" t="s">
        <v>83</v>
      </c>
      <c r="AB77" s="6" t="s">
        <v>83</v>
      </c>
      <c r="AC77" s="6" t="s">
        <v>83</v>
      </c>
      <c r="AD77" s="6" t="s">
        <v>83</v>
      </c>
      <c r="AE77" s="6" t="s">
        <v>83</v>
      </c>
      <c r="AF77" s="6" t="s">
        <v>123</v>
      </c>
      <c r="AG77" s="6" t="s">
        <v>123</v>
      </c>
      <c r="AH77" s="7" t="s">
        <v>339</v>
      </c>
      <c r="AI77" s="7" t="s">
        <v>340</v>
      </c>
      <c r="AJ77" s="7" t="s">
        <v>341</v>
      </c>
      <c r="AK77" s="3" t="s">
        <v>62</v>
      </c>
      <c r="AL77" s="3" t="s">
        <v>62</v>
      </c>
      <c r="AM77" s="3" t="s">
        <v>85</v>
      </c>
      <c r="AN77" s="3" t="s">
        <v>67</v>
      </c>
      <c r="AO77" s="3" t="s">
        <v>86</v>
      </c>
      <c r="AP77" s="3" t="s">
        <v>87</v>
      </c>
      <c r="AQ77" s="3">
        <v>46213</v>
      </c>
      <c r="AR77" s="3" t="s">
        <v>88</v>
      </c>
      <c r="AS77" s="3" t="s">
        <v>89</v>
      </c>
      <c r="AT77" s="3" t="s">
        <v>90</v>
      </c>
      <c r="AU77" s="3" t="s">
        <v>73</v>
      </c>
      <c r="AV77" s="3" t="s">
        <v>89</v>
      </c>
      <c r="AW77" s="3" t="s">
        <v>91</v>
      </c>
      <c r="AX77" s="3" t="s">
        <v>75</v>
      </c>
      <c r="AY77" s="3" t="s">
        <v>76</v>
      </c>
    </row>
    <row r="78" spans="1:51" ht="168">
      <c r="A78" t="s">
        <v>342</v>
      </c>
      <c r="B78" t="s">
        <v>343</v>
      </c>
      <c r="C78" t="s">
        <v>334</v>
      </c>
      <c r="D78" t="s">
        <v>54</v>
      </c>
      <c r="E78" t="s">
        <v>55</v>
      </c>
      <c r="F78" s="4">
        <v>36.201000000000001</v>
      </c>
      <c r="G78" s="4">
        <v>29.634</v>
      </c>
      <c r="H78" s="5">
        <v>3.8</v>
      </c>
      <c r="I78" t="s">
        <v>56</v>
      </c>
      <c r="J78" t="s">
        <v>56</v>
      </c>
      <c r="K78" t="s">
        <v>56</v>
      </c>
      <c r="L78" t="s">
        <v>56</v>
      </c>
      <c r="M78" t="s">
        <v>57</v>
      </c>
      <c r="N78" t="s">
        <v>56</v>
      </c>
      <c r="O78" t="s">
        <v>56</v>
      </c>
      <c r="P78" t="s">
        <v>56</v>
      </c>
      <c r="Q78" s="5"/>
      <c r="R78" s="5"/>
      <c r="S78" t="s">
        <v>140</v>
      </c>
      <c r="T78" t="s">
        <v>59</v>
      </c>
      <c r="U78" s="6" t="s">
        <v>344</v>
      </c>
      <c r="V78" s="6" t="s">
        <v>141</v>
      </c>
      <c r="W78" s="10"/>
      <c r="X78" s="6" t="s">
        <v>63</v>
      </c>
      <c r="Y78" s="6" t="s">
        <v>63</v>
      </c>
      <c r="Z78" s="6" t="s">
        <v>63</v>
      </c>
      <c r="AA78" s="6" t="s">
        <v>63</v>
      </c>
      <c r="AB78" s="6" t="s">
        <v>63</v>
      </c>
      <c r="AC78" s="6" t="s">
        <v>63</v>
      </c>
      <c r="AD78" s="6" t="s">
        <v>63</v>
      </c>
      <c r="AE78" s="6" t="s">
        <v>63</v>
      </c>
      <c r="AF78" s="6" t="s">
        <v>63</v>
      </c>
      <c r="AG78" s="6" t="s">
        <v>63</v>
      </c>
      <c r="AH78" s="7" t="s">
        <v>345</v>
      </c>
      <c r="AI78" s="7" t="s">
        <v>346</v>
      </c>
      <c r="AJ78" s="7" t="s">
        <v>347</v>
      </c>
      <c r="AK78" s="3" t="s">
        <v>62</v>
      </c>
      <c r="AL78" s="3" t="s">
        <v>62</v>
      </c>
      <c r="AM78" s="3" t="s">
        <v>66</v>
      </c>
      <c r="AN78" s="3" t="s">
        <v>67</v>
      </c>
      <c r="AO78" s="3" t="s">
        <v>68</v>
      </c>
      <c r="AP78" s="3" t="s">
        <v>348</v>
      </c>
      <c r="AQ78" s="3">
        <v>46213</v>
      </c>
      <c r="AR78" s="3" t="s">
        <v>70</v>
      </c>
      <c r="AS78" s="3" t="s">
        <v>71</v>
      </c>
      <c r="AT78" s="3" t="s">
        <v>72</v>
      </c>
      <c r="AU78" s="3" t="s">
        <v>73</v>
      </c>
      <c r="AV78" s="3" t="s">
        <v>71</v>
      </c>
      <c r="AW78" s="3" t="s">
        <v>74</v>
      </c>
      <c r="AX78" s="3" t="s">
        <v>75</v>
      </c>
      <c r="AY78" s="3" t="s">
        <v>76</v>
      </c>
    </row>
    <row r="79" spans="1:51" ht="140">
      <c r="A79" t="s">
        <v>349</v>
      </c>
      <c r="B79" t="s">
        <v>350</v>
      </c>
      <c r="C79" t="s">
        <v>334</v>
      </c>
      <c r="D79" t="s">
        <v>54</v>
      </c>
      <c r="E79" t="s">
        <v>94</v>
      </c>
      <c r="F79" s="4">
        <v>36.210039999999999</v>
      </c>
      <c r="G79" s="4">
        <v>29.85108</v>
      </c>
      <c r="H79" s="5">
        <v>3.9</v>
      </c>
      <c r="I79" t="s">
        <v>56</v>
      </c>
      <c r="J79" t="s">
        <v>57</v>
      </c>
      <c r="K79" t="s">
        <v>57</v>
      </c>
      <c r="L79" t="s">
        <v>71</v>
      </c>
      <c r="M79" t="s">
        <v>95</v>
      </c>
      <c r="N79" t="s">
        <v>71</v>
      </c>
      <c r="O79" t="s">
        <v>71</v>
      </c>
      <c r="P79" t="s">
        <v>57</v>
      </c>
      <c r="Q79" s="5"/>
      <c r="R79" s="5"/>
      <c r="S79" t="s">
        <v>113</v>
      </c>
      <c r="T79" t="s">
        <v>114</v>
      </c>
      <c r="U79" s="6" t="s">
        <v>351</v>
      </c>
      <c r="V79" s="6" t="s">
        <v>98</v>
      </c>
      <c r="W79" s="10"/>
      <c r="X79" s="6" t="s">
        <v>98</v>
      </c>
      <c r="Y79" s="6" t="s">
        <v>98</v>
      </c>
      <c r="Z79" s="6" t="s">
        <v>98</v>
      </c>
      <c r="AA79" s="6" t="s">
        <v>98</v>
      </c>
      <c r="AB79" s="6" t="s">
        <v>98</v>
      </c>
      <c r="AC79" s="6" t="s">
        <v>98</v>
      </c>
      <c r="AD79" s="6" t="s">
        <v>98</v>
      </c>
      <c r="AE79" s="6" t="s">
        <v>98</v>
      </c>
      <c r="AF79" s="6" t="s">
        <v>123</v>
      </c>
      <c r="AG79" s="6" t="s">
        <v>63</v>
      </c>
      <c r="AH79" s="7" t="s">
        <v>352</v>
      </c>
      <c r="AI79" s="7" t="s">
        <v>353</v>
      </c>
      <c r="AJ79" s="7" t="s">
        <v>341</v>
      </c>
      <c r="AK79" s="3" t="s">
        <v>62</v>
      </c>
      <c r="AL79" s="3" t="s">
        <v>62</v>
      </c>
      <c r="AM79" s="3" t="s">
        <v>85</v>
      </c>
      <c r="AN79" s="3" t="s">
        <v>67</v>
      </c>
      <c r="AO79" s="3" t="s">
        <v>86</v>
      </c>
      <c r="AP79" s="3" t="s">
        <v>87</v>
      </c>
      <c r="AQ79" s="3">
        <v>46213</v>
      </c>
      <c r="AR79" s="3" t="s">
        <v>88</v>
      </c>
      <c r="AS79" s="3" t="s">
        <v>95</v>
      </c>
      <c r="AT79" s="3" t="s">
        <v>100</v>
      </c>
      <c r="AU79" s="3" t="s">
        <v>73</v>
      </c>
      <c r="AV79" s="3" t="s">
        <v>95</v>
      </c>
      <c r="AW79" s="3" t="s">
        <v>101</v>
      </c>
      <c r="AX79" s="3" t="s">
        <v>75</v>
      </c>
      <c r="AY79" s="3" t="s">
        <v>76</v>
      </c>
    </row>
    <row r="80" spans="1:51" ht="140">
      <c r="A80" t="s">
        <v>354</v>
      </c>
      <c r="B80" t="s">
        <v>355</v>
      </c>
      <c r="C80" t="s">
        <v>334</v>
      </c>
      <c r="D80" t="s">
        <v>54</v>
      </c>
      <c r="E80" t="s">
        <v>94</v>
      </c>
      <c r="F80" s="4">
        <v>36.232689999999998</v>
      </c>
      <c r="G80" s="4">
        <v>29.862069999999999</v>
      </c>
      <c r="H80" s="5">
        <v>3.9</v>
      </c>
      <c r="I80" t="s">
        <v>56</v>
      </c>
      <c r="J80" t="s">
        <v>57</v>
      </c>
      <c r="K80" t="s">
        <v>57</v>
      </c>
      <c r="L80" t="s">
        <v>71</v>
      </c>
      <c r="M80" t="s">
        <v>95</v>
      </c>
      <c r="N80" t="s">
        <v>71</v>
      </c>
      <c r="O80" t="s">
        <v>57</v>
      </c>
      <c r="P80" t="s">
        <v>57</v>
      </c>
      <c r="Q80" s="5"/>
      <c r="R80" s="5"/>
      <c r="S80" t="s">
        <v>58</v>
      </c>
      <c r="T80" t="s">
        <v>57</v>
      </c>
      <c r="U80" s="6" t="s">
        <v>104</v>
      </c>
      <c r="V80" s="6" t="s">
        <v>98</v>
      </c>
      <c r="W80" s="10"/>
      <c r="X80" s="6" t="s">
        <v>98</v>
      </c>
      <c r="Y80" s="6" t="s">
        <v>98</v>
      </c>
      <c r="Z80" s="6" t="s">
        <v>98</v>
      </c>
      <c r="AA80" s="6" t="s">
        <v>98</v>
      </c>
      <c r="AB80" s="6" t="s">
        <v>98</v>
      </c>
      <c r="AC80" s="6" t="s">
        <v>98</v>
      </c>
      <c r="AD80" s="6" t="s">
        <v>98</v>
      </c>
      <c r="AE80" s="6" t="s">
        <v>98</v>
      </c>
      <c r="AF80" s="6" t="s">
        <v>123</v>
      </c>
      <c r="AG80" s="6" t="s">
        <v>63</v>
      </c>
      <c r="AH80" s="7" t="s">
        <v>356</v>
      </c>
      <c r="AI80" s="7" t="s">
        <v>357</v>
      </c>
      <c r="AJ80" s="7" t="s">
        <v>341</v>
      </c>
      <c r="AK80" s="3" t="s">
        <v>62</v>
      </c>
      <c r="AL80" s="3" t="s">
        <v>62</v>
      </c>
      <c r="AM80" s="3" t="s">
        <v>85</v>
      </c>
      <c r="AN80" s="3" t="s">
        <v>67</v>
      </c>
      <c r="AO80" s="3" t="s">
        <v>86</v>
      </c>
      <c r="AP80" s="3" t="s">
        <v>87</v>
      </c>
      <c r="AQ80" s="3">
        <v>46213</v>
      </c>
      <c r="AR80" s="3" t="s">
        <v>88</v>
      </c>
      <c r="AS80" s="3" t="s">
        <v>95</v>
      </c>
      <c r="AT80" s="3" t="s">
        <v>100</v>
      </c>
      <c r="AU80" s="3" t="s">
        <v>73</v>
      </c>
      <c r="AV80" s="3" t="s">
        <v>95</v>
      </c>
      <c r="AW80" s="3" t="s">
        <v>101</v>
      </c>
      <c r="AX80" s="3" t="s">
        <v>75</v>
      </c>
      <c r="AY80" s="3" t="s">
        <v>76</v>
      </c>
    </row>
    <row r="81" spans="1:51" ht="140">
      <c r="A81" t="s">
        <v>358</v>
      </c>
      <c r="B81" t="s">
        <v>359</v>
      </c>
      <c r="C81" t="s">
        <v>334</v>
      </c>
      <c r="D81" t="s">
        <v>54</v>
      </c>
      <c r="E81" t="s">
        <v>94</v>
      </c>
      <c r="F81" s="4">
        <v>36.217219999999998</v>
      </c>
      <c r="G81" s="4">
        <v>29.830469999999998</v>
      </c>
      <c r="H81" s="5">
        <v>3.6</v>
      </c>
      <c r="I81" t="s">
        <v>56</v>
      </c>
      <c r="J81" t="s">
        <v>57</v>
      </c>
      <c r="K81" t="s">
        <v>57</v>
      </c>
      <c r="L81" t="s">
        <v>71</v>
      </c>
      <c r="M81" t="s">
        <v>95</v>
      </c>
      <c r="N81" t="s">
        <v>71</v>
      </c>
      <c r="O81" t="s">
        <v>57</v>
      </c>
      <c r="P81" t="s">
        <v>57</v>
      </c>
      <c r="Q81" s="5"/>
      <c r="R81" s="5"/>
      <c r="S81" t="s">
        <v>96</v>
      </c>
      <c r="T81" t="s">
        <v>57</v>
      </c>
      <c r="U81" s="6" t="s">
        <v>97</v>
      </c>
      <c r="V81" s="6" t="s">
        <v>98</v>
      </c>
      <c r="W81" s="10"/>
      <c r="X81" s="6" t="s">
        <v>98</v>
      </c>
      <c r="Y81" s="6" t="s">
        <v>98</v>
      </c>
      <c r="Z81" s="6" t="s">
        <v>98</v>
      </c>
      <c r="AA81" s="6" t="s">
        <v>98</v>
      </c>
      <c r="AB81" s="6" t="s">
        <v>98</v>
      </c>
      <c r="AC81" s="6" t="s">
        <v>98</v>
      </c>
      <c r="AD81" s="6" t="s">
        <v>98</v>
      </c>
      <c r="AE81" s="6" t="s">
        <v>98</v>
      </c>
      <c r="AF81" s="6" t="s">
        <v>63</v>
      </c>
      <c r="AG81" s="6" t="s">
        <v>63</v>
      </c>
      <c r="AH81" s="7" t="s">
        <v>360</v>
      </c>
      <c r="AI81" s="7" t="s">
        <v>361</v>
      </c>
      <c r="AJ81" s="7" t="s">
        <v>341</v>
      </c>
      <c r="AK81" s="3" t="s">
        <v>62</v>
      </c>
      <c r="AL81" s="3" t="s">
        <v>62</v>
      </c>
      <c r="AM81" s="3" t="s">
        <v>85</v>
      </c>
      <c r="AN81" s="3" t="s">
        <v>67</v>
      </c>
      <c r="AO81" s="3" t="s">
        <v>86</v>
      </c>
      <c r="AP81" s="3" t="s">
        <v>87</v>
      </c>
      <c r="AQ81" s="3">
        <v>46213</v>
      </c>
      <c r="AR81" s="3" t="s">
        <v>88</v>
      </c>
      <c r="AS81" s="3" t="s">
        <v>95</v>
      </c>
      <c r="AT81" s="3" t="s">
        <v>100</v>
      </c>
      <c r="AU81" s="3" t="s">
        <v>73</v>
      </c>
      <c r="AV81" s="3" t="s">
        <v>95</v>
      </c>
      <c r="AW81" s="3" t="s">
        <v>101</v>
      </c>
      <c r="AX81" s="3" t="s">
        <v>75</v>
      </c>
      <c r="AY81" s="3" t="s">
        <v>76</v>
      </c>
    </row>
    <row r="82" spans="1:51" ht="140">
      <c r="A82" t="s">
        <v>362</v>
      </c>
      <c r="B82" t="s">
        <v>363</v>
      </c>
      <c r="C82" t="s">
        <v>334</v>
      </c>
      <c r="D82" t="s">
        <v>54</v>
      </c>
      <c r="E82" t="s">
        <v>94</v>
      </c>
      <c r="F82" s="4">
        <v>36.211399999999998</v>
      </c>
      <c r="G82" s="4">
        <v>29.86673</v>
      </c>
      <c r="H82" s="5">
        <v>4.2</v>
      </c>
      <c r="I82" t="s">
        <v>56</v>
      </c>
      <c r="J82" t="s">
        <v>57</v>
      </c>
      <c r="K82" t="s">
        <v>57</v>
      </c>
      <c r="L82" t="s">
        <v>71</v>
      </c>
      <c r="M82" t="s">
        <v>95</v>
      </c>
      <c r="N82" t="s">
        <v>71</v>
      </c>
      <c r="O82" t="s">
        <v>57</v>
      </c>
      <c r="P82" t="s">
        <v>57</v>
      </c>
      <c r="Q82" s="5"/>
      <c r="R82" s="5"/>
      <c r="S82" t="s">
        <v>113</v>
      </c>
      <c r="T82" t="s">
        <v>114</v>
      </c>
      <c r="U82" s="6" t="s">
        <v>351</v>
      </c>
      <c r="V82" s="6" t="s">
        <v>98</v>
      </c>
      <c r="W82" s="10"/>
      <c r="X82" s="6" t="s">
        <v>98</v>
      </c>
      <c r="Y82" s="6" t="s">
        <v>98</v>
      </c>
      <c r="Z82" s="6" t="s">
        <v>98</v>
      </c>
      <c r="AA82" s="6" t="s">
        <v>98</v>
      </c>
      <c r="AB82" s="6" t="s">
        <v>98</v>
      </c>
      <c r="AC82" s="6" t="s">
        <v>98</v>
      </c>
      <c r="AD82" s="6" t="s">
        <v>98</v>
      </c>
      <c r="AE82" s="6" t="s">
        <v>98</v>
      </c>
      <c r="AF82" s="6" t="s">
        <v>63</v>
      </c>
      <c r="AG82" s="6" t="s">
        <v>63</v>
      </c>
      <c r="AH82" s="7" t="s">
        <v>364</v>
      </c>
      <c r="AI82" s="7" t="s">
        <v>365</v>
      </c>
      <c r="AJ82" s="7" t="s">
        <v>341</v>
      </c>
      <c r="AK82" s="3" t="s">
        <v>62</v>
      </c>
      <c r="AL82" s="3" t="s">
        <v>62</v>
      </c>
      <c r="AM82" s="3" t="s">
        <v>85</v>
      </c>
      <c r="AN82" s="3" t="s">
        <v>67</v>
      </c>
      <c r="AO82" s="3" t="s">
        <v>86</v>
      </c>
      <c r="AP82" s="3" t="s">
        <v>87</v>
      </c>
      <c r="AQ82" s="3">
        <v>46213</v>
      </c>
      <c r="AR82" s="3" t="s">
        <v>88</v>
      </c>
      <c r="AS82" s="3" t="s">
        <v>95</v>
      </c>
      <c r="AT82" s="3" t="s">
        <v>100</v>
      </c>
      <c r="AU82" s="3" t="s">
        <v>73</v>
      </c>
      <c r="AV82" s="3" t="s">
        <v>95</v>
      </c>
      <c r="AW82" s="3" t="s">
        <v>101</v>
      </c>
      <c r="AX82" s="3" t="s">
        <v>75</v>
      </c>
      <c r="AY82" s="3" t="s">
        <v>76</v>
      </c>
    </row>
    <row r="83" spans="1:51" ht="140">
      <c r="A83" t="s">
        <v>366</v>
      </c>
      <c r="B83" t="s">
        <v>367</v>
      </c>
      <c r="C83" t="s">
        <v>334</v>
      </c>
      <c r="D83" t="s">
        <v>54</v>
      </c>
      <c r="E83" t="s">
        <v>94</v>
      </c>
      <c r="F83" s="4">
        <v>36.241250000000001</v>
      </c>
      <c r="G83" s="4">
        <v>29.842939999999999</v>
      </c>
      <c r="H83" s="5">
        <v>3.6</v>
      </c>
      <c r="I83" t="s">
        <v>56</v>
      </c>
      <c r="J83" t="s">
        <v>57</v>
      </c>
      <c r="K83" t="s">
        <v>57</v>
      </c>
      <c r="L83" t="s">
        <v>71</v>
      </c>
      <c r="M83" t="s">
        <v>95</v>
      </c>
      <c r="N83" t="s">
        <v>71</v>
      </c>
      <c r="O83" t="s">
        <v>57</v>
      </c>
      <c r="P83" t="s">
        <v>57</v>
      </c>
      <c r="Q83" s="5"/>
      <c r="R83" s="5"/>
      <c r="S83" t="s">
        <v>80</v>
      </c>
      <c r="T83" t="s">
        <v>57</v>
      </c>
      <c r="U83" s="6" t="s">
        <v>351</v>
      </c>
      <c r="V83" s="6" t="s">
        <v>98</v>
      </c>
      <c r="W83" s="10"/>
      <c r="X83" s="6" t="s">
        <v>98</v>
      </c>
      <c r="Y83" s="6" t="s">
        <v>98</v>
      </c>
      <c r="Z83" s="6" t="s">
        <v>98</v>
      </c>
      <c r="AA83" s="6" t="s">
        <v>98</v>
      </c>
      <c r="AB83" s="6" t="s">
        <v>98</v>
      </c>
      <c r="AC83" s="6" t="s">
        <v>98</v>
      </c>
      <c r="AD83" s="6" t="s">
        <v>98</v>
      </c>
      <c r="AE83" s="6" t="s">
        <v>98</v>
      </c>
      <c r="AF83" s="6" t="s">
        <v>123</v>
      </c>
      <c r="AG83" s="6" t="s">
        <v>123</v>
      </c>
      <c r="AH83" s="7" t="s">
        <v>368</v>
      </c>
      <c r="AI83" s="7" t="s">
        <v>369</v>
      </c>
      <c r="AJ83" s="7" t="s">
        <v>65</v>
      </c>
      <c r="AK83" s="3" t="s">
        <v>62</v>
      </c>
      <c r="AL83" s="3" t="s">
        <v>62</v>
      </c>
      <c r="AM83" s="3" t="s">
        <v>85</v>
      </c>
      <c r="AN83" s="3" t="s">
        <v>67</v>
      </c>
      <c r="AO83" s="3" t="s">
        <v>86</v>
      </c>
      <c r="AP83" s="3" t="s">
        <v>87</v>
      </c>
      <c r="AQ83" s="3">
        <v>46213</v>
      </c>
      <c r="AR83" s="3" t="s">
        <v>88</v>
      </c>
      <c r="AS83" s="3" t="s">
        <v>95</v>
      </c>
      <c r="AT83" s="3" t="s">
        <v>100</v>
      </c>
      <c r="AU83" s="3" t="s">
        <v>73</v>
      </c>
      <c r="AV83" s="3" t="s">
        <v>95</v>
      </c>
      <c r="AW83" s="3" t="s">
        <v>101</v>
      </c>
      <c r="AX83" s="3" t="s">
        <v>75</v>
      </c>
      <c r="AY83" s="3" t="s">
        <v>76</v>
      </c>
    </row>
    <row r="84" spans="1:51" ht="140">
      <c r="A84" t="s">
        <v>370</v>
      </c>
      <c r="B84" t="s">
        <v>371</v>
      </c>
      <c r="C84" t="s">
        <v>334</v>
      </c>
      <c r="D84" t="s">
        <v>54</v>
      </c>
      <c r="E84" t="s">
        <v>79</v>
      </c>
      <c r="F84" s="4">
        <v>36.200490000000002</v>
      </c>
      <c r="G84" s="4">
        <v>29.837409999999998</v>
      </c>
      <c r="H84" s="5">
        <v>3.4</v>
      </c>
      <c r="I84" t="s">
        <v>57</v>
      </c>
      <c r="J84" t="s">
        <v>57</v>
      </c>
      <c r="K84" t="s">
        <v>57</v>
      </c>
      <c r="L84" t="s">
        <v>71</v>
      </c>
      <c r="M84" t="s">
        <v>71</v>
      </c>
      <c r="N84" t="s">
        <v>71</v>
      </c>
      <c r="O84" t="s">
        <v>57</v>
      </c>
      <c r="P84" t="s">
        <v>57</v>
      </c>
      <c r="Q84" s="5"/>
      <c r="R84" s="5"/>
      <c r="S84" t="s">
        <v>80</v>
      </c>
      <c r="T84" t="s">
        <v>81</v>
      </c>
      <c r="U84" s="6" t="s">
        <v>338</v>
      </c>
      <c r="V84" s="6" t="s">
        <v>98</v>
      </c>
      <c r="W84" s="10"/>
      <c r="X84" s="6" t="s">
        <v>83</v>
      </c>
      <c r="Y84" s="6" t="s">
        <v>83</v>
      </c>
      <c r="Z84" s="6" t="s">
        <v>83</v>
      </c>
      <c r="AA84" s="6" t="s">
        <v>83</v>
      </c>
      <c r="AB84" s="6" t="s">
        <v>83</v>
      </c>
      <c r="AC84" s="6" t="s">
        <v>83</v>
      </c>
      <c r="AD84" s="6" t="s">
        <v>83</v>
      </c>
      <c r="AE84" s="6" t="s">
        <v>83</v>
      </c>
      <c r="AF84" s="6" t="s">
        <v>123</v>
      </c>
      <c r="AG84" s="6" t="s">
        <v>63</v>
      </c>
      <c r="AH84" s="7" t="s">
        <v>372</v>
      </c>
      <c r="AI84" s="7" t="s">
        <v>373</v>
      </c>
      <c r="AJ84" s="7" t="s">
        <v>341</v>
      </c>
      <c r="AK84" s="3" t="s">
        <v>62</v>
      </c>
      <c r="AL84" s="3" t="s">
        <v>62</v>
      </c>
      <c r="AM84" s="3" t="s">
        <v>85</v>
      </c>
      <c r="AN84" s="3" t="s">
        <v>67</v>
      </c>
      <c r="AO84" s="3" t="s">
        <v>86</v>
      </c>
      <c r="AP84" s="3" t="s">
        <v>87</v>
      </c>
      <c r="AQ84" s="3">
        <v>46213</v>
      </c>
      <c r="AR84" s="3" t="s">
        <v>88</v>
      </c>
      <c r="AS84" s="3" t="s">
        <v>89</v>
      </c>
      <c r="AT84" s="3" t="s">
        <v>90</v>
      </c>
      <c r="AU84" s="3" t="s">
        <v>73</v>
      </c>
      <c r="AV84" s="3" t="s">
        <v>89</v>
      </c>
      <c r="AW84" s="3" t="s">
        <v>91</v>
      </c>
      <c r="AX84" s="3" t="s">
        <v>75</v>
      </c>
      <c r="AY84" s="3" t="s">
        <v>76</v>
      </c>
    </row>
    <row r="85" spans="1:51" ht="140">
      <c r="A85" t="s">
        <v>374</v>
      </c>
      <c r="B85" t="s">
        <v>375</v>
      </c>
      <c r="C85" t="s">
        <v>334</v>
      </c>
      <c r="D85" t="s">
        <v>54</v>
      </c>
      <c r="E85" t="s">
        <v>94</v>
      </c>
      <c r="F85" s="4">
        <v>36.227519999999998</v>
      </c>
      <c r="G85" s="4">
        <v>29.875630000000001</v>
      </c>
      <c r="H85" s="5">
        <v>3.4</v>
      </c>
      <c r="I85" t="s">
        <v>56</v>
      </c>
      <c r="J85" t="s">
        <v>57</v>
      </c>
      <c r="K85" t="s">
        <v>57</v>
      </c>
      <c r="L85" t="s">
        <v>71</v>
      </c>
      <c r="M85" t="s">
        <v>95</v>
      </c>
      <c r="N85" t="s">
        <v>71</v>
      </c>
      <c r="O85" t="s">
        <v>57</v>
      </c>
      <c r="P85" t="s">
        <v>57</v>
      </c>
      <c r="Q85" s="5"/>
      <c r="R85" s="5"/>
      <c r="S85" t="s">
        <v>80</v>
      </c>
      <c r="T85" t="s">
        <v>57</v>
      </c>
      <c r="U85" s="6" t="s">
        <v>351</v>
      </c>
      <c r="V85" s="6" t="s">
        <v>98</v>
      </c>
      <c r="W85" s="10"/>
      <c r="X85" s="6" t="s">
        <v>98</v>
      </c>
      <c r="Y85" s="6" t="s">
        <v>98</v>
      </c>
      <c r="Z85" s="6" t="s">
        <v>98</v>
      </c>
      <c r="AA85" s="6" t="s">
        <v>98</v>
      </c>
      <c r="AB85" s="6" t="s">
        <v>98</v>
      </c>
      <c r="AC85" s="6" t="s">
        <v>98</v>
      </c>
      <c r="AD85" s="6" t="s">
        <v>98</v>
      </c>
      <c r="AE85" s="6" t="s">
        <v>98</v>
      </c>
      <c r="AF85" s="6" t="s">
        <v>123</v>
      </c>
      <c r="AG85" s="6" t="s">
        <v>123</v>
      </c>
      <c r="AH85" s="7" t="s">
        <v>376</v>
      </c>
      <c r="AI85" s="7" t="s">
        <v>377</v>
      </c>
      <c r="AJ85" s="7" t="s">
        <v>65</v>
      </c>
      <c r="AK85" s="3" t="s">
        <v>62</v>
      </c>
      <c r="AL85" s="3" t="s">
        <v>62</v>
      </c>
      <c r="AM85" s="3" t="s">
        <v>85</v>
      </c>
      <c r="AN85" s="3" t="s">
        <v>67</v>
      </c>
      <c r="AO85" s="3" t="s">
        <v>86</v>
      </c>
      <c r="AP85" s="3" t="s">
        <v>87</v>
      </c>
      <c r="AQ85" s="3">
        <v>46213</v>
      </c>
      <c r="AR85" s="3" t="s">
        <v>88</v>
      </c>
      <c r="AS85" s="3" t="s">
        <v>95</v>
      </c>
      <c r="AT85" s="3" t="s">
        <v>100</v>
      </c>
      <c r="AU85" s="3" t="s">
        <v>73</v>
      </c>
      <c r="AV85" s="3" t="s">
        <v>95</v>
      </c>
      <c r="AW85" s="3" t="s">
        <v>101</v>
      </c>
      <c r="AX85" s="3" t="s">
        <v>75</v>
      </c>
      <c r="AY85" s="3" t="s">
        <v>76</v>
      </c>
    </row>
    <row r="86" spans="1:51" ht="196">
      <c r="A86" t="s">
        <v>378</v>
      </c>
      <c r="B86" t="s">
        <v>379</v>
      </c>
      <c r="C86" t="s">
        <v>334</v>
      </c>
      <c r="D86" t="s">
        <v>54</v>
      </c>
      <c r="E86" t="s">
        <v>55</v>
      </c>
      <c r="F86" s="4">
        <v>36.230719999999998</v>
      </c>
      <c r="G86" s="4">
        <v>29.81793</v>
      </c>
      <c r="H86" s="5">
        <v>3.7</v>
      </c>
      <c r="I86" t="s">
        <v>56</v>
      </c>
      <c r="J86" t="s">
        <v>56</v>
      </c>
      <c r="K86" t="s">
        <v>56</v>
      </c>
      <c r="L86" t="s">
        <v>56</v>
      </c>
      <c r="M86" t="s">
        <v>57</v>
      </c>
      <c r="N86" t="s">
        <v>56</v>
      </c>
      <c r="O86" t="s">
        <v>56</v>
      </c>
      <c r="P86" t="s">
        <v>56</v>
      </c>
      <c r="Q86" s="5"/>
      <c r="R86" s="5"/>
      <c r="S86" t="s">
        <v>140</v>
      </c>
      <c r="T86" t="s">
        <v>59</v>
      </c>
      <c r="U86" s="6" t="s">
        <v>344</v>
      </c>
      <c r="V86" s="6" t="s">
        <v>141</v>
      </c>
      <c r="W86" s="10"/>
      <c r="X86" s="6" t="s">
        <v>63</v>
      </c>
      <c r="Y86" s="6" t="s">
        <v>63</v>
      </c>
      <c r="Z86" s="6" t="s">
        <v>63</v>
      </c>
      <c r="AA86" s="6" t="s">
        <v>63</v>
      </c>
      <c r="AB86" s="6" t="s">
        <v>63</v>
      </c>
      <c r="AC86" s="6" t="s">
        <v>63</v>
      </c>
      <c r="AD86" s="6" t="s">
        <v>63</v>
      </c>
      <c r="AE86" s="6" t="s">
        <v>63</v>
      </c>
      <c r="AF86" s="6" t="s">
        <v>63</v>
      </c>
      <c r="AG86" s="6" t="s">
        <v>63</v>
      </c>
      <c r="AH86" s="7" t="s">
        <v>380</v>
      </c>
      <c r="AI86" s="7" t="s">
        <v>381</v>
      </c>
      <c r="AJ86" s="7" t="s">
        <v>347</v>
      </c>
      <c r="AK86" s="3" t="s">
        <v>62</v>
      </c>
      <c r="AL86" s="3" t="s">
        <v>62</v>
      </c>
      <c r="AM86" s="3" t="s">
        <v>85</v>
      </c>
      <c r="AN86" s="3" t="s">
        <v>67</v>
      </c>
      <c r="AO86" s="3" t="s">
        <v>86</v>
      </c>
      <c r="AP86" s="3" t="s">
        <v>382</v>
      </c>
      <c r="AQ86" s="3">
        <v>46213</v>
      </c>
      <c r="AR86" s="3" t="s">
        <v>88</v>
      </c>
      <c r="AS86" s="3" t="s">
        <v>71</v>
      </c>
      <c r="AT86" s="3" t="s">
        <v>72</v>
      </c>
      <c r="AU86" s="3" t="s">
        <v>73</v>
      </c>
      <c r="AV86" s="3" t="s">
        <v>71</v>
      </c>
      <c r="AW86" s="3" t="s">
        <v>74</v>
      </c>
      <c r="AX86" s="3" t="s">
        <v>75</v>
      </c>
      <c r="AY86" s="3" t="s">
        <v>76</v>
      </c>
    </row>
    <row r="87" spans="1:51" ht="140">
      <c r="A87" t="s">
        <v>383</v>
      </c>
      <c r="B87" t="s">
        <v>384</v>
      </c>
      <c r="C87" t="s">
        <v>334</v>
      </c>
      <c r="D87" t="s">
        <v>54</v>
      </c>
      <c r="E87" t="s">
        <v>94</v>
      </c>
      <c r="F87" s="4">
        <v>36.19462</v>
      </c>
      <c r="G87" s="4">
        <v>29.86467</v>
      </c>
      <c r="H87" s="5">
        <v>3.5</v>
      </c>
      <c r="I87" t="s">
        <v>56</v>
      </c>
      <c r="J87" t="s">
        <v>57</v>
      </c>
      <c r="K87" t="s">
        <v>57</v>
      </c>
      <c r="L87" t="s">
        <v>71</v>
      </c>
      <c r="M87" t="s">
        <v>95</v>
      </c>
      <c r="N87" t="s">
        <v>71</v>
      </c>
      <c r="O87" t="s">
        <v>57</v>
      </c>
      <c r="P87" t="s">
        <v>57</v>
      </c>
      <c r="Q87" s="5"/>
      <c r="R87" s="5"/>
      <c r="S87" t="s">
        <v>96</v>
      </c>
      <c r="T87" t="s">
        <v>57</v>
      </c>
      <c r="U87" s="6" t="s">
        <v>97</v>
      </c>
      <c r="V87" s="6" t="s">
        <v>98</v>
      </c>
      <c r="W87" s="10"/>
      <c r="X87" s="6" t="s">
        <v>98</v>
      </c>
      <c r="Y87" s="6" t="s">
        <v>98</v>
      </c>
      <c r="Z87" s="6" t="s">
        <v>98</v>
      </c>
      <c r="AA87" s="6" t="s">
        <v>98</v>
      </c>
      <c r="AB87" s="6" t="s">
        <v>98</v>
      </c>
      <c r="AC87" s="6" t="s">
        <v>98</v>
      </c>
      <c r="AD87" s="6" t="s">
        <v>98</v>
      </c>
      <c r="AE87" s="6" t="s">
        <v>98</v>
      </c>
      <c r="AF87" s="6" t="s">
        <v>123</v>
      </c>
      <c r="AG87" s="6" t="s">
        <v>63</v>
      </c>
      <c r="AH87" s="7" t="s">
        <v>385</v>
      </c>
      <c r="AI87" s="7" t="s">
        <v>386</v>
      </c>
      <c r="AJ87" s="7" t="s">
        <v>341</v>
      </c>
      <c r="AK87" s="3" t="s">
        <v>62</v>
      </c>
      <c r="AL87" s="3" t="s">
        <v>62</v>
      </c>
      <c r="AM87" s="3" t="s">
        <v>85</v>
      </c>
      <c r="AN87" s="3" t="s">
        <v>67</v>
      </c>
      <c r="AO87" s="3" t="s">
        <v>86</v>
      </c>
      <c r="AP87" s="3" t="s">
        <v>87</v>
      </c>
      <c r="AQ87" s="3">
        <v>46213</v>
      </c>
      <c r="AR87" s="3" t="s">
        <v>88</v>
      </c>
      <c r="AS87" s="3" t="s">
        <v>95</v>
      </c>
      <c r="AT87" s="3" t="s">
        <v>100</v>
      </c>
      <c r="AU87" s="3" t="s">
        <v>73</v>
      </c>
      <c r="AV87" s="3" t="s">
        <v>95</v>
      </c>
      <c r="AW87" s="3" t="s">
        <v>101</v>
      </c>
      <c r="AX87" s="3" t="s">
        <v>75</v>
      </c>
      <c r="AY87" s="3" t="s">
        <v>76</v>
      </c>
    </row>
    <row r="88" spans="1:51" ht="168">
      <c r="A88" t="s">
        <v>387</v>
      </c>
      <c r="B88" t="s">
        <v>388</v>
      </c>
      <c r="C88" t="s">
        <v>389</v>
      </c>
      <c r="D88" t="s">
        <v>390</v>
      </c>
      <c r="E88" t="s">
        <v>79</v>
      </c>
      <c r="F88" s="4">
        <v>36.451000000000001</v>
      </c>
      <c r="G88" s="4">
        <v>28.228000000000002</v>
      </c>
      <c r="H88" s="5">
        <v>3.7</v>
      </c>
      <c r="I88" t="s">
        <v>57</v>
      </c>
      <c r="J88" t="s">
        <v>71</v>
      </c>
      <c r="K88" t="s">
        <v>71</v>
      </c>
      <c r="L88" t="s">
        <v>71</v>
      </c>
      <c r="M88" t="s">
        <v>57</v>
      </c>
      <c r="N88" t="s">
        <v>57</v>
      </c>
      <c r="O88" t="s">
        <v>57</v>
      </c>
      <c r="P88" t="s">
        <v>57</v>
      </c>
      <c r="Q88" s="5"/>
      <c r="R88" s="5"/>
      <c r="S88" t="s">
        <v>58</v>
      </c>
      <c r="T88" t="s">
        <v>81</v>
      </c>
      <c r="U88" s="6" t="s">
        <v>338</v>
      </c>
      <c r="V88" s="6" t="s">
        <v>391</v>
      </c>
      <c r="W88" s="10"/>
      <c r="X88" s="6" t="s">
        <v>63</v>
      </c>
      <c r="Y88" s="6" t="s">
        <v>63</v>
      </c>
      <c r="Z88" s="6" t="s">
        <v>63</v>
      </c>
      <c r="AA88" s="6" t="s">
        <v>83</v>
      </c>
      <c r="AB88" s="6" t="s">
        <v>83</v>
      </c>
      <c r="AC88" s="6" t="s">
        <v>63</v>
      </c>
      <c r="AD88" s="6" t="s">
        <v>83</v>
      </c>
      <c r="AE88" s="6" t="s">
        <v>83</v>
      </c>
      <c r="AF88" s="6" t="s">
        <v>63</v>
      </c>
      <c r="AG88" s="6" t="s">
        <v>63</v>
      </c>
      <c r="AH88" s="7" t="s">
        <v>392</v>
      </c>
      <c r="AI88" s="7" t="s">
        <v>393</v>
      </c>
      <c r="AJ88" s="7" t="s">
        <v>341</v>
      </c>
      <c r="AK88" s="3" t="s">
        <v>62</v>
      </c>
      <c r="AL88" s="3" t="s">
        <v>62</v>
      </c>
      <c r="AM88" s="3" t="s">
        <v>66</v>
      </c>
      <c r="AN88" s="3" t="s">
        <v>67</v>
      </c>
      <c r="AO88" s="3" t="s">
        <v>68</v>
      </c>
      <c r="AP88" s="3" t="s">
        <v>394</v>
      </c>
      <c r="AQ88" s="3">
        <v>46213</v>
      </c>
      <c r="AR88" s="3" t="s">
        <v>70</v>
      </c>
      <c r="AS88" s="3" t="s">
        <v>89</v>
      </c>
      <c r="AT88" s="3" t="s">
        <v>90</v>
      </c>
      <c r="AU88" s="3" t="s">
        <v>73</v>
      </c>
      <c r="AV88" s="3" t="s">
        <v>89</v>
      </c>
      <c r="AW88" s="3" t="s">
        <v>91</v>
      </c>
      <c r="AX88" s="3" t="s">
        <v>75</v>
      </c>
      <c r="AY88" s="3" t="s">
        <v>76</v>
      </c>
    </row>
    <row r="89" spans="1:51" ht="140">
      <c r="A89" t="s">
        <v>395</v>
      </c>
      <c r="B89" t="s">
        <v>396</v>
      </c>
      <c r="C89" t="s">
        <v>389</v>
      </c>
      <c r="D89" t="s">
        <v>390</v>
      </c>
      <c r="E89" t="s">
        <v>79</v>
      </c>
      <c r="F89" s="4">
        <v>36.200000000000003</v>
      </c>
      <c r="G89" s="4">
        <v>28.062390000000001</v>
      </c>
      <c r="H89" s="5">
        <v>3.2</v>
      </c>
      <c r="I89" t="s">
        <v>57</v>
      </c>
      <c r="J89" t="s">
        <v>71</v>
      </c>
      <c r="K89" t="s">
        <v>71</v>
      </c>
      <c r="L89" t="s">
        <v>71</v>
      </c>
      <c r="M89" t="s">
        <v>57</v>
      </c>
      <c r="N89" t="s">
        <v>57</v>
      </c>
      <c r="O89" t="s">
        <v>57</v>
      </c>
      <c r="P89" t="s">
        <v>57</v>
      </c>
      <c r="Q89" s="5"/>
      <c r="R89" s="5"/>
      <c r="S89" t="s">
        <v>108</v>
      </c>
      <c r="T89" t="s">
        <v>81</v>
      </c>
      <c r="U89" s="6" t="s">
        <v>338</v>
      </c>
      <c r="V89" s="6" t="s">
        <v>83</v>
      </c>
      <c r="W89" s="10"/>
      <c r="X89" s="6" t="s">
        <v>83</v>
      </c>
      <c r="Y89" s="6" t="s">
        <v>83</v>
      </c>
      <c r="Z89" s="6" t="s">
        <v>83</v>
      </c>
      <c r="AA89" s="6" t="s">
        <v>83</v>
      </c>
      <c r="AB89" s="6" t="s">
        <v>83</v>
      </c>
      <c r="AC89" s="6" t="s">
        <v>83</v>
      </c>
      <c r="AD89" s="6" t="s">
        <v>83</v>
      </c>
      <c r="AE89" s="6" t="s">
        <v>83</v>
      </c>
      <c r="AF89" s="6" t="s">
        <v>63</v>
      </c>
      <c r="AG89" s="6" t="s">
        <v>63</v>
      </c>
      <c r="AH89" s="7" t="s">
        <v>397</v>
      </c>
      <c r="AI89" s="7" t="s">
        <v>398</v>
      </c>
      <c r="AJ89" s="7" t="s">
        <v>341</v>
      </c>
      <c r="AK89" s="3" t="s">
        <v>62</v>
      </c>
      <c r="AL89" s="3" t="s">
        <v>62</v>
      </c>
      <c r="AM89" s="3" t="s">
        <v>85</v>
      </c>
      <c r="AN89" s="3" t="s">
        <v>67</v>
      </c>
      <c r="AO89" s="3" t="s">
        <v>86</v>
      </c>
      <c r="AP89" s="3" t="s">
        <v>87</v>
      </c>
      <c r="AQ89" s="3">
        <v>46213</v>
      </c>
      <c r="AR89" s="3" t="s">
        <v>88</v>
      </c>
      <c r="AS89" s="3" t="s">
        <v>89</v>
      </c>
      <c r="AT89" s="3" t="s">
        <v>90</v>
      </c>
      <c r="AU89" s="3" t="s">
        <v>73</v>
      </c>
      <c r="AV89" s="3" t="s">
        <v>89</v>
      </c>
      <c r="AW89" s="3" t="s">
        <v>91</v>
      </c>
      <c r="AX89" s="3" t="s">
        <v>75</v>
      </c>
      <c r="AY89" s="3" t="s">
        <v>76</v>
      </c>
    </row>
    <row r="90" spans="1:51" ht="140">
      <c r="A90" t="s">
        <v>399</v>
      </c>
      <c r="B90" t="s">
        <v>400</v>
      </c>
      <c r="C90" t="s">
        <v>389</v>
      </c>
      <c r="D90" t="s">
        <v>390</v>
      </c>
      <c r="E90" t="s">
        <v>94</v>
      </c>
      <c r="F90" s="4">
        <v>36.206760000000003</v>
      </c>
      <c r="G90" s="4">
        <v>28.040859999999999</v>
      </c>
      <c r="H90" s="5">
        <v>4.2</v>
      </c>
      <c r="I90" t="s">
        <v>57</v>
      </c>
      <c r="J90" t="s">
        <v>71</v>
      </c>
      <c r="K90" t="s">
        <v>95</v>
      </c>
      <c r="L90" t="s">
        <v>71</v>
      </c>
      <c r="M90" t="s">
        <v>57</v>
      </c>
      <c r="N90" t="s">
        <v>57</v>
      </c>
      <c r="O90" t="s">
        <v>56</v>
      </c>
      <c r="P90" t="s">
        <v>57</v>
      </c>
      <c r="Q90" s="5"/>
      <c r="R90" s="5"/>
      <c r="S90" t="s">
        <v>96</v>
      </c>
      <c r="T90" t="s">
        <v>57</v>
      </c>
      <c r="U90" s="6" t="s">
        <v>351</v>
      </c>
      <c r="V90" s="6" t="s">
        <v>98</v>
      </c>
      <c r="W90" s="10"/>
      <c r="X90" s="6" t="s">
        <v>98</v>
      </c>
      <c r="Y90" s="6" t="s">
        <v>98</v>
      </c>
      <c r="Z90" s="6" t="s">
        <v>98</v>
      </c>
      <c r="AA90" s="6" t="s">
        <v>98</v>
      </c>
      <c r="AB90" s="6" t="s">
        <v>98</v>
      </c>
      <c r="AC90" s="6" t="s">
        <v>98</v>
      </c>
      <c r="AD90" s="6" t="s">
        <v>98</v>
      </c>
      <c r="AE90" s="6" t="s">
        <v>98</v>
      </c>
      <c r="AF90" s="6" t="s">
        <v>123</v>
      </c>
      <c r="AG90" s="6" t="s">
        <v>63</v>
      </c>
      <c r="AH90" s="7" t="s">
        <v>401</v>
      </c>
      <c r="AI90" s="7" t="s">
        <v>402</v>
      </c>
      <c r="AJ90" s="7" t="s">
        <v>341</v>
      </c>
      <c r="AK90" s="3" t="s">
        <v>62</v>
      </c>
      <c r="AL90" s="3" t="s">
        <v>62</v>
      </c>
      <c r="AM90" s="3" t="s">
        <v>85</v>
      </c>
      <c r="AN90" s="3" t="s">
        <v>67</v>
      </c>
      <c r="AO90" s="3" t="s">
        <v>86</v>
      </c>
      <c r="AP90" s="3" t="s">
        <v>87</v>
      </c>
      <c r="AQ90" s="3">
        <v>46213</v>
      </c>
      <c r="AR90" s="3" t="s">
        <v>88</v>
      </c>
      <c r="AS90" s="3" t="s">
        <v>95</v>
      </c>
      <c r="AT90" s="3" t="s">
        <v>100</v>
      </c>
      <c r="AU90" s="3" t="s">
        <v>73</v>
      </c>
      <c r="AV90" s="3" t="s">
        <v>95</v>
      </c>
      <c r="AW90" s="3" t="s">
        <v>101</v>
      </c>
      <c r="AX90" s="3" t="s">
        <v>75</v>
      </c>
      <c r="AY90" s="3" t="s">
        <v>76</v>
      </c>
    </row>
    <row r="91" spans="1:51" ht="140">
      <c r="A91" t="s">
        <v>403</v>
      </c>
      <c r="B91" t="s">
        <v>404</v>
      </c>
      <c r="C91" t="s">
        <v>389</v>
      </c>
      <c r="D91" t="s">
        <v>390</v>
      </c>
      <c r="E91" t="s">
        <v>94</v>
      </c>
      <c r="F91" s="4">
        <v>36.190040000000003</v>
      </c>
      <c r="G91" s="4">
        <v>28.051079999999999</v>
      </c>
      <c r="H91" s="5">
        <v>3.9</v>
      </c>
      <c r="I91" t="s">
        <v>57</v>
      </c>
      <c r="J91" t="s">
        <v>71</v>
      </c>
      <c r="K91" t="s">
        <v>95</v>
      </c>
      <c r="L91" t="s">
        <v>71</v>
      </c>
      <c r="M91" t="s">
        <v>57</v>
      </c>
      <c r="N91" t="s">
        <v>57</v>
      </c>
      <c r="O91" t="s">
        <v>56</v>
      </c>
      <c r="P91" t="s">
        <v>57</v>
      </c>
      <c r="Q91" s="5"/>
      <c r="R91" s="5"/>
      <c r="S91" t="s">
        <v>405</v>
      </c>
      <c r="T91" t="s">
        <v>114</v>
      </c>
      <c r="U91" s="6" t="s">
        <v>104</v>
      </c>
      <c r="V91" s="6" t="s">
        <v>98</v>
      </c>
      <c r="W91" s="10"/>
      <c r="X91" s="6" t="s">
        <v>98</v>
      </c>
      <c r="Y91" s="6" t="s">
        <v>98</v>
      </c>
      <c r="Z91" s="6" t="s">
        <v>98</v>
      </c>
      <c r="AA91" s="6" t="s">
        <v>98</v>
      </c>
      <c r="AB91" s="6" t="s">
        <v>98</v>
      </c>
      <c r="AC91" s="6" t="s">
        <v>98</v>
      </c>
      <c r="AD91" s="6" t="s">
        <v>98</v>
      </c>
      <c r="AE91" s="6" t="s">
        <v>98</v>
      </c>
      <c r="AF91" s="6" t="s">
        <v>63</v>
      </c>
      <c r="AG91" s="6" t="s">
        <v>63</v>
      </c>
      <c r="AH91" s="7" t="s">
        <v>406</v>
      </c>
      <c r="AI91" s="7" t="s">
        <v>407</v>
      </c>
      <c r="AJ91" s="7" t="s">
        <v>341</v>
      </c>
      <c r="AK91" s="3" t="s">
        <v>62</v>
      </c>
      <c r="AL91" s="3" t="s">
        <v>62</v>
      </c>
      <c r="AM91" s="3" t="s">
        <v>85</v>
      </c>
      <c r="AN91" s="3" t="s">
        <v>67</v>
      </c>
      <c r="AO91" s="3" t="s">
        <v>86</v>
      </c>
      <c r="AP91" s="3" t="s">
        <v>87</v>
      </c>
      <c r="AQ91" s="3">
        <v>46213</v>
      </c>
      <c r="AR91" s="3" t="s">
        <v>88</v>
      </c>
      <c r="AS91" s="3" t="s">
        <v>95</v>
      </c>
      <c r="AT91" s="3" t="s">
        <v>100</v>
      </c>
      <c r="AU91" s="3" t="s">
        <v>73</v>
      </c>
      <c r="AV91" s="3" t="s">
        <v>95</v>
      </c>
      <c r="AW91" s="3" t="s">
        <v>101</v>
      </c>
      <c r="AX91" s="3" t="s">
        <v>75</v>
      </c>
      <c r="AY91" s="3" t="s">
        <v>76</v>
      </c>
    </row>
    <row r="92" spans="1:51" ht="140">
      <c r="A92" t="s">
        <v>408</v>
      </c>
      <c r="B92" t="s">
        <v>409</v>
      </c>
      <c r="C92" t="s">
        <v>389</v>
      </c>
      <c r="D92" t="s">
        <v>390</v>
      </c>
      <c r="E92" t="s">
        <v>94</v>
      </c>
      <c r="F92" s="4">
        <v>36.212690000000002</v>
      </c>
      <c r="G92" s="4">
        <v>28.062069999999999</v>
      </c>
      <c r="H92" s="5">
        <v>4.2</v>
      </c>
      <c r="I92" t="s">
        <v>57</v>
      </c>
      <c r="J92" t="s">
        <v>71</v>
      </c>
      <c r="K92" t="s">
        <v>95</v>
      </c>
      <c r="L92" t="s">
        <v>71</v>
      </c>
      <c r="M92" t="s">
        <v>57</v>
      </c>
      <c r="N92" t="s">
        <v>57</v>
      </c>
      <c r="O92" t="s">
        <v>56</v>
      </c>
      <c r="P92" t="s">
        <v>57</v>
      </c>
      <c r="Q92" s="5"/>
      <c r="R92" s="5"/>
      <c r="S92" t="s">
        <v>180</v>
      </c>
      <c r="T92" t="s">
        <v>57</v>
      </c>
      <c r="U92" s="6" t="s">
        <v>97</v>
      </c>
      <c r="V92" s="6" t="s">
        <v>98</v>
      </c>
      <c r="W92" s="10"/>
      <c r="X92" s="6" t="s">
        <v>98</v>
      </c>
      <c r="Y92" s="6" t="s">
        <v>98</v>
      </c>
      <c r="Z92" s="6" t="s">
        <v>98</v>
      </c>
      <c r="AA92" s="6" t="s">
        <v>98</v>
      </c>
      <c r="AB92" s="6" t="s">
        <v>98</v>
      </c>
      <c r="AC92" s="6" t="s">
        <v>98</v>
      </c>
      <c r="AD92" s="6" t="s">
        <v>98</v>
      </c>
      <c r="AE92" s="6" t="s">
        <v>98</v>
      </c>
      <c r="AF92" s="6" t="s">
        <v>123</v>
      </c>
      <c r="AG92" s="6" t="s">
        <v>63</v>
      </c>
      <c r="AH92" s="7" t="s">
        <v>410</v>
      </c>
      <c r="AI92" s="7" t="s">
        <v>411</v>
      </c>
      <c r="AJ92" s="7" t="s">
        <v>341</v>
      </c>
      <c r="AK92" s="3" t="s">
        <v>62</v>
      </c>
      <c r="AL92" s="3" t="s">
        <v>62</v>
      </c>
      <c r="AM92" s="3" t="s">
        <v>85</v>
      </c>
      <c r="AN92" s="3" t="s">
        <v>67</v>
      </c>
      <c r="AO92" s="3" t="s">
        <v>86</v>
      </c>
      <c r="AP92" s="3" t="s">
        <v>87</v>
      </c>
      <c r="AQ92" s="3">
        <v>46213</v>
      </c>
      <c r="AR92" s="3" t="s">
        <v>88</v>
      </c>
      <c r="AS92" s="3" t="s">
        <v>95</v>
      </c>
      <c r="AT92" s="3" t="s">
        <v>100</v>
      </c>
      <c r="AU92" s="3" t="s">
        <v>73</v>
      </c>
      <c r="AV92" s="3" t="s">
        <v>95</v>
      </c>
      <c r="AW92" s="3" t="s">
        <v>101</v>
      </c>
      <c r="AX92" s="3" t="s">
        <v>75</v>
      </c>
      <c r="AY92" s="3" t="s">
        <v>76</v>
      </c>
    </row>
    <row r="93" spans="1:51" ht="140">
      <c r="A93" t="s">
        <v>412</v>
      </c>
      <c r="B93" t="s">
        <v>413</v>
      </c>
      <c r="C93" t="s">
        <v>389</v>
      </c>
      <c r="D93" t="s">
        <v>390</v>
      </c>
      <c r="E93" t="s">
        <v>94</v>
      </c>
      <c r="F93" s="4">
        <v>36.197220000000002</v>
      </c>
      <c r="G93" s="4">
        <v>28.030470000000001</v>
      </c>
      <c r="H93" s="5">
        <v>3.4</v>
      </c>
      <c r="I93" t="s">
        <v>57</v>
      </c>
      <c r="J93" t="s">
        <v>71</v>
      </c>
      <c r="K93" t="s">
        <v>95</v>
      </c>
      <c r="L93" t="s">
        <v>71</v>
      </c>
      <c r="M93" t="s">
        <v>57</v>
      </c>
      <c r="N93" t="s">
        <v>57</v>
      </c>
      <c r="O93" t="s">
        <v>56</v>
      </c>
      <c r="P93" t="s">
        <v>57</v>
      </c>
      <c r="Q93" s="5"/>
      <c r="R93" s="5"/>
      <c r="S93" t="s">
        <v>180</v>
      </c>
      <c r="T93" t="s">
        <v>57</v>
      </c>
      <c r="U93" s="6" t="s">
        <v>97</v>
      </c>
      <c r="V93" s="6" t="s">
        <v>98</v>
      </c>
      <c r="W93" s="10"/>
      <c r="X93" s="6" t="s">
        <v>98</v>
      </c>
      <c r="Y93" s="6" t="s">
        <v>98</v>
      </c>
      <c r="Z93" s="6" t="s">
        <v>98</v>
      </c>
      <c r="AA93" s="6" t="s">
        <v>98</v>
      </c>
      <c r="AB93" s="6" t="s">
        <v>98</v>
      </c>
      <c r="AC93" s="6" t="s">
        <v>98</v>
      </c>
      <c r="AD93" s="6" t="s">
        <v>98</v>
      </c>
      <c r="AE93" s="6" t="s">
        <v>98</v>
      </c>
      <c r="AF93" s="6" t="s">
        <v>123</v>
      </c>
      <c r="AG93" s="6" t="s">
        <v>63</v>
      </c>
      <c r="AH93" s="7" t="s">
        <v>414</v>
      </c>
      <c r="AI93" s="7" t="s">
        <v>415</v>
      </c>
      <c r="AJ93" s="7" t="s">
        <v>341</v>
      </c>
      <c r="AK93" s="3" t="s">
        <v>62</v>
      </c>
      <c r="AL93" s="3" t="s">
        <v>62</v>
      </c>
      <c r="AM93" s="3" t="s">
        <v>85</v>
      </c>
      <c r="AN93" s="3" t="s">
        <v>67</v>
      </c>
      <c r="AO93" s="3" t="s">
        <v>86</v>
      </c>
      <c r="AP93" s="3" t="s">
        <v>87</v>
      </c>
      <c r="AQ93" s="3">
        <v>46213</v>
      </c>
      <c r="AR93" s="3" t="s">
        <v>88</v>
      </c>
      <c r="AS93" s="3" t="s">
        <v>95</v>
      </c>
      <c r="AT93" s="3" t="s">
        <v>100</v>
      </c>
      <c r="AU93" s="3" t="s">
        <v>73</v>
      </c>
      <c r="AV93" s="3" t="s">
        <v>95</v>
      </c>
      <c r="AW93" s="3" t="s">
        <v>101</v>
      </c>
      <c r="AX93" s="3" t="s">
        <v>75</v>
      </c>
      <c r="AY93" s="3" t="s">
        <v>76</v>
      </c>
    </row>
    <row r="94" spans="1:51" ht="140">
      <c r="A94" t="s">
        <v>416</v>
      </c>
      <c r="B94" t="s">
        <v>417</v>
      </c>
      <c r="C94" t="s">
        <v>389</v>
      </c>
      <c r="D94" t="s">
        <v>390</v>
      </c>
      <c r="E94" t="s">
        <v>94</v>
      </c>
      <c r="F94" s="4">
        <v>36.091000000000001</v>
      </c>
      <c r="G94" s="4">
        <v>28.087</v>
      </c>
      <c r="H94" s="5">
        <v>4</v>
      </c>
      <c r="I94" t="s">
        <v>57</v>
      </c>
      <c r="J94" t="s">
        <v>71</v>
      </c>
      <c r="K94" t="s">
        <v>95</v>
      </c>
      <c r="L94" t="s">
        <v>71</v>
      </c>
      <c r="M94" t="s">
        <v>71</v>
      </c>
      <c r="N94" t="s">
        <v>57</v>
      </c>
      <c r="O94" t="s">
        <v>56</v>
      </c>
      <c r="P94" t="s">
        <v>57</v>
      </c>
      <c r="Q94" s="5"/>
      <c r="R94" s="5"/>
      <c r="S94" t="s">
        <v>113</v>
      </c>
      <c r="T94" t="s">
        <v>114</v>
      </c>
      <c r="U94" s="6" t="s">
        <v>351</v>
      </c>
      <c r="V94" s="6" t="s">
        <v>98</v>
      </c>
      <c r="W94" s="10"/>
      <c r="X94" s="6" t="s">
        <v>98</v>
      </c>
      <c r="Y94" s="6" t="s">
        <v>98</v>
      </c>
      <c r="Z94" s="6" t="s">
        <v>98</v>
      </c>
      <c r="AA94" s="6" t="s">
        <v>98</v>
      </c>
      <c r="AB94" s="6" t="s">
        <v>98</v>
      </c>
      <c r="AC94" s="6" t="s">
        <v>98</v>
      </c>
      <c r="AD94" s="6" t="s">
        <v>98</v>
      </c>
      <c r="AE94" s="6" t="s">
        <v>98</v>
      </c>
      <c r="AF94" s="6" t="s">
        <v>63</v>
      </c>
      <c r="AG94" s="6" t="s">
        <v>63</v>
      </c>
      <c r="AH94" s="7" t="s">
        <v>418</v>
      </c>
      <c r="AI94" s="7" t="s">
        <v>419</v>
      </c>
      <c r="AJ94" s="7" t="s">
        <v>341</v>
      </c>
      <c r="AK94" s="3" t="s">
        <v>62</v>
      </c>
      <c r="AL94" s="3" t="s">
        <v>62</v>
      </c>
      <c r="AM94" s="3" t="s">
        <v>66</v>
      </c>
      <c r="AN94" s="3" t="s">
        <v>67</v>
      </c>
      <c r="AO94" s="3" t="s">
        <v>68</v>
      </c>
      <c r="AP94" s="3" t="s">
        <v>69</v>
      </c>
      <c r="AQ94" s="3">
        <v>46213</v>
      </c>
      <c r="AR94" s="3" t="s">
        <v>70</v>
      </c>
      <c r="AS94" s="3" t="s">
        <v>95</v>
      </c>
      <c r="AT94" s="3" t="s">
        <v>100</v>
      </c>
      <c r="AU94" s="3" t="s">
        <v>73</v>
      </c>
      <c r="AV94" s="3" t="s">
        <v>95</v>
      </c>
      <c r="AW94" s="3" t="s">
        <v>101</v>
      </c>
      <c r="AX94" s="3" t="s">
        <v>75</v>
      </c>
      <c r="AY94" s="3" t="s">
        <v>76</v>
      </c>
    </row>
    <row r="95" spans="1:51" ht="140">
      <c r="A95" t="s">
        <v>420</v>
      </c>
      <c r="B95" t="s">
        <v>421</v>
      </c>
      <c r="C95" t="s">
        <v>389</v>
      </c>
      <c r="D95" t="s">
        <v>390</v>
      </c>
      <c r="E95" t="s">
        <v>94</v>
      </c>
      <c r="F95" s="4">
        <v>36.191400000000002</v>
      </c>
      <c r="G95" s="4">
        <v>28.06672</v>
      </c>
      <c r="H95" s="5">
        <v>3.5</v>
      </c>
      <c r="I95" t="s">
        <v>57</v>
      </c>
      <c r="J95" t="s">
        <v>71</v>
      </c>
      <c r="K95" t="s">
        <v>95</v>
      </c>
      <c r="L95" t="s">
        <v>71</v>
      </c>
      <c r="M95" t="s">
        <v>57</v>
      </c>
      <c r="N95" t="s">
        <v>57</v>
      </c>
      <c r="O95" t="s">
        <v>56</v>
      </c>
      <c r="P95" t="s">
        <v>57</v>
      </c>
      <c r="Q95" s="5"/>
      <c r="R95" s="5"/>
      <c r="S95" t="s">
        <v>405</v>
      </c>
      <c r="T95" t="s">
        <v>114</v>
      </c>
      <c r="U95" s="6" t="s">
        <v>104</v>
      </c>
      <c r="V95" s="6" t="s">
        <v>98</v>
      </c>
      <c r="W95" s="10"/>
      <c r="X95" s="6" t="s">
        <v>98</v>
      </c>
      <c r="Y95" s="6" t="s">
        <v>98</v>
      </c>
      <c r="Z95" s="6" t="s">
        <v>98</v>
      </c>
      <c r="AA95" s="6" t="s">
        <v>98</v>
      </c>
      <c r="AB95" s="6" t="s">
        <v>98</v>
      </c>
      <c r="AC95" s="6" t="s">
        <v>98</v>
      </c>
      <c r="AD95" s="6" t="s">
        <v>98</v>
      </c>
      <c r="AE95" s="6" t="s">
        <v>98</v>
      </c>
      <c r="AF95" s="6" t="s">
        <v>123</v>
      </c>
      <c r="AG95" s="6" t="s">
        <v>63</v>
      </c>
      <c r="AH95" s="7" t="s">
        <v>422</v>
      </c>
      <c r="AI95" s="7" t="s">
        <v>423</v>
      </c>
      <c r="AJ95" s="7" t="s">
        <v>341</v>
      </c>
      <c r="AK95" s="3" t="s">
        <v>62</v>
      </c>
      <c r="AL95" s="3" t="s">
        <v>62</v>
      </c>
      <c r="AM95" s="3" t="s">
        <v>85</v>
      </c>
      <c r="AN95" s="3" t="s">
        <v>67</v>
      </c>
      <c r="AO95" s="3" t="s">
        <v>86</v>
      </c>
      <c r="AP95" s="3" t="s">
        <v>87</v>
      </c>
      <c r="AQ95" s="3">
        <v>46213</v>
      </c>
      <c r="AR95" s="3" t="s">
        <v>88</v>
      </c>
      <c r="AS95" s="3" t="s">
        <v>95</v>
      </c>
      <c r="AT95" s="3" t="s">
        <v>100</v>
      </c>
      <c r="AU95" s="3" t="s">
        <v>73</v>
      </c>
      <c r="AV95" s="3" t="s">
        <v>95</v>
      </c>
      <c r="AW95" s="3" t="s">
        <v>101</v>
      </c>
      <c r="AX95" s="3" t="s">
        <v>75</v>
      </c>
      <c r="AY95" s="3" t="s">
        <v>76</v>
      </c>
    </row>
    <row r="96" spans="1:51" ht="140">
      <c r="A96" t="s">
        <v>424</v>
      </c>
      <c r="B96" t="s">
        <v>425</v>
      </c>
      <c r="C96" t="s">
        <v>389</v>
      </c>
      <c r="D96" t="s">
        <v>390</v>
      </c>
      <c r="E96" t="s">
        <v>94</v>
      </c>
      <c r="F96" s="4">
        <v>36.221249999999998</v>
      </c>
      <c r="G96" s="4">
        <v>28.042940000000002</v>
      </c>
      <c r="H96" s="5">
        <v>4</v>
      </c>
      <c r="I96" t="s">
        <v>57</v>
      </c>
      <c r="J96" t="s">
        <v>71</v>
      </c>
      <c r="K96" t="s">
        <v>95</v>
      </c>
      <c r="L96" t="s">
        <v>71</v>
      </c>
      <c r="M96" t="s">
        <v>57</v>
      </c>
      <c r="N96" t="s">
        <v>57</v>
      </c>
      <c r="O96" t="s">
        <v>56</v>
      </c>
      <c r="P96" t="s">
        <v>57</v>
      </c>
      <c r="Q96" s="5"/>
      <c r="R96" s="5"/>
      <c r="S96" t="s">
        <v>113</v>
      </c>
      <c r="T96" t="s">
        <v>114</v>
      </c>
      <c r="U96" s="6" t="s">
        <v>351</v>
      </c>
      <c r="V96" s="6" t="s">
        <v>98</v>
      </c>
      <c r="W96" s="10"/>
      <c r="X96" s="6" t="s">
        <v>98</v>
      </c>
      <c r="Y96" s="6" t="s">
        <v>98</v>
      </c>
      <c r="Z96" s="6" t="s">
        <v>98</v>
      </c>
      <c r="AA96" s="6" t="s">
        <v>98</v>
      </c>
      <c r="AB96" s="6" t="s">
        <v>98</v>
      </c>
      <c r="AC96" s="6" t="s">
        <v>98</v>
      </c>
      <c r="AD96" s="6" t="s">
        <v>98</v>
      </c>
      <c r="AE96" s="6" t="s">
        <v>98</v>
      </c>
      <c r="AF96" s="6" t="s">
        <v>63</v>
      </c>
      <c r="AG96" s="6" t="s">
        <v>63</v>
      </c>
      <c r="AH96" s="7" t="s">
        <v>426</v>
      </c>
      <c r="AI96" s="7" t="s">
        <v>427</v>
      </c>
      <c r="AJ96" s="7" t="s">
        <v>341</v>
      </c>
      <c r="AK96" s="3" t="s">
        <v>62</v>
      </c>
      <c r="AL96" s="3" t="s">
        <v>62</v>
      </c>
      <c r="AM96" s="3" t="s">
        <v>85</v>
      </c>
      <c r="AN96" s="3" t="s">
        <v>67</v>
      </c>
      <c r="AO96" s="3" t="s">
        <v>86</v>
      </c>
      <c r="AP96" s="3" t="s">
        <v>87</v>
      </c>
      <c r="AQ96" s="3">
        <v>46213</v>
      </c>
      <c r="AR96" s="3" t="s">
        <v>88</v>
      </c>
      <c r="AS96" s="3" t="s">
        <v>95</v>
      </c>
      <c r="AT96" s="3" t="s">
        <v>100</v>
      </c>
      <c r="AU96" s="3" t="s">
        <v>73</v>
      </c>
      <c r="AV96" s="3" t="s">
        <v>95</v>
      </c>
      <c r="AW96" s="3" t="s">
        <v>101</v>
      </c>
      <c r="AX96" s="3" t="s">
        <v>75</v>
      </c>
      <c r="AY96" s="3" t="s">
        <v>76</v>
      </c>
    </row>
    <row r="97" spans="1:51" ht="140">
      <c r="A97" t="s">
        <v>428</v>
      </c>
      <c r="B97" t="s">
        <v>429</v>
      </c>
      <c r="C97" t="s">
        <v>389</v>
      </c>
      <c r="D97" t="s">
        <v>390</v>
      </c>
      <c r="E97" t="s">
        <v>94</v>
      </c>
      <c r="F97" s="4">
        <v>36.180489999999999</v>
      </c>
      <c r="G97" s="4">
        <v>28.037410000000001</v>
      </c>
      <c r="H97" s="5">
        <v>4.2</v>
      </c>
      <c r="I97" t="s">
        <v>57</v>
      </c>
      <c r="J97" t="s">
        <v>71</v>
      </c>
      <c r="K97" t="s">
        <v>95</v>
      </c>
      <c r="L97" t="s">
        <v>71</v>
      </c>
      <c r="M97" t="s">
        <v>57</v>
      </c>
      <c r="N97" t="s">
        <v>57</v>
      </c>
      <c r="O97" t="s">
        <v>56</v>
      </c>
      <c r="P97" t="s">
        <v>57</v>
      </c>
      <c r="Q97" s="5"/>
      <c r="R97" s="5"/>
      <c r="S97" t="s">
        <v>113</v>
      </c>
      <c r="T97" t="s">
        <v>114</v>
      </c>
      <c r="U97" s="6" t="s">
        <v>351</v>
      </c>
      <c r="V97" s="6" t="s">
        <v>98</v>
      </c>
      <c r="W97" s="10"/>
      <c r="X97" s="6" t="s">
        <v>98</v>
      </c>
      <c r="Y97" s="6" t="s">
        <v>98</v>
      </c>
      <c r="Z97" s="6" t="s">
        <v>98</v>
      </c>
      <c r="AA97" s="6" t="s">
        <v>98</v>
      </c>
      <c r="AB97" s="6" t="s">
        <v>98</v>
      </c>
      <c r="AC97" s="6" t="s">
        <v>98</v>
      </c>
      <c r="AD97" s="6" t="s">
        <v>98</v>
      </c>
      <c r="AE97" s="6" t="s">
        <v>98</v>
      </c>
      <c r="AF97" s="6" t="s">
        <v>123</v>
      </c>
      <c r="AG97" s="6" t="s">
        <v>63</v>
      </c>
      <c r="AH97" s="7" t="s">
        <v>430</v>
      </c>
      <c r="AI97" s="7" t="s">
        <v>431</v>
      </c>
      <c r="AJ97" s="7" t="s">
        <v>341</v>
      </c>
      <c r="AK97" s="3" t="s">
        <v>62</v>
      </c>
      <c r="AL97" s="3" t="s">
        <v>62</v>
      </c>
      <c r="AM97" s="3" t="s">
        <v>85</v>
      </c>
      <c r="AN97" s="3" t="s">
        <v>67</v>
      </c>
      <c r="AO97" s="3" t="s">
        <v>86</v>
      </c>
      <c r="AP97" s="3" t="s">
        <v>87</v>
      </c>
      <c r="AQ97" s="3">
        <v>46213</v>
      </c>
      <c r="AR97" s="3" t="s">
        <v>88</v>
      </c>
      <c r="AS97" s="3" t="s">
        <v>95</v>
      </c>
      <c r="AT97" s="3" t="s">
        <v>100</v>
      </c>
      <c r="AU97" s="3" t="s">
        <v>73</v>
      </c>
      <c r="AV97" s="3" t="s">
        <v>95</v>
      </c>
      <c r="AW97" s="3" t="s">
        <v>101</v>
      </c>
      <c r="AX97" s="3" t="s">
        <v>75</v>
      </c>
      <c r="AY97" s="3" t="s">
        <v>76</v>
      </c>
    </row>
    <row r="98" spans="1:51" ht="140">
      <c r="A98" t="s">
        <v>432</v>
      </c>
      <c r="B98" t="s">
        <v>433</v>
      </c>
      <c r="C98" t="s">
        <v>389</v>
      </c>
      <c r="D98" t="s">
        <v>390</v>
      </c>
      <c r="E98" t="s">
        <v>94</v>
      </c>
      <c r="F98" s="4">
        <v>36.207520000000002</v>
      </c>
      <c r="G98" s="4">
        <v>28.075620000000001</v>
      </c>
      <c r="H98" s="5">
        <v>3.8</v>
      </c>
      <c r="I98" t="s">
        <v>57</v>
      </c>
      <c r="J98" t="s">
        <v>71</v>
      </c>
      <c r="K98" t="s">
        <v>95</v>
      </c>
      <c r="L98" t="s">
        <v>71</v>
      </c>
      <c r="M98" t="s">
        <v>57</v>
      </c>
      <c r="N98" t="s">
        <v>57</v>
      </c>
      <c r="O98" t="s">
        <v>56</v>
      </c>
      <c r="P98" t="s">
        <v>57</v>
      </c>
      <c r="Q98" s="5"/>
      <c r="R98" s="5"/>
      <c r="S98" t="s">
        <v>96</v>
      </c>
      <c r="T98" t="s">
        <v>57</v>
      </c>
      <c r="U98" s="6" t="s">
        <v>351</v>
      </c>
      <c r="V98" s="6" t="s">
        <v>98</v>
      </c>
      <c r="W98" s="10"/>
      <c r="X98" s="6" t="s">
        <v>98</v>
      </c>
      <c r="Y98" s="6" t="s">
        <v>98</v>
      </c>
      <c r="Z98" s="6" t="s">
        <v>98</v>
      </c>
      <c r="AA98" s="6" t="s">
        <v>98</v>
      </c>
      <c r="AB98" s="6" t="s">
        <v>98</v>
      </c>
      <c r="AC98" s="6" t="s">
        <v>98</v>
      </c>
      <c r="AD98" s="6" t="s">
        <v>98</v>
      </c>
      <c r="AE98" s="6" t="s">
        <v>98</v>
      </c>
      <c r="AF98" s="6" t="s">
        <v>123</v>
      </c>
      <c r="AG98" s="6" t="s">
        <v>63</v>
      </c>
      <c r="AH98" s="7" t="s">
        <v>434</v>
      </c>
      <c r="AI98" s="7" t="s">
        <v>435</v>
      </c>
      <c r="AJ98" s="7" t="s">
        <v>65</v>
      </c>
      <c r="AK98" s="3" t="s">
        <v>62</v>
      </c>
      <c r="AL98" s="3" t="s">
        <v>62</v>
      </c>
      <c r="AM98" s="3" t="s">
        <v>85</v>
      </c>
      <c r="AN98" s="3" t="s">
        <v>67</v>
      </c>
      <c r="AO98" s="3" t="s">
        <v>86</v>
      </c>
      <c r="AP98" s="3" t="s">
        <v>87</v>
      </c>
      <c r="AQ98" s="3">
        <v>46213</v>
      </c>
      <c r="AR98" s="3" t="s">
        <v>88</v>
      </c>
      <c r="AS98" s="3" t="s">
        <v>95</v>
      </c>
      <c r="AT98" s="3" t="s">
        <v>100</v>
      </c>
      <c r="AU98" s="3" t="s">
        <v>73</v>
      </c>
      <c r="AV98" s="3" t="s">
        <v>95</v>
      </c>
      <c r="AW98" s="3" t="s">
        <v>101</v>
      </c>
      <c r="AX98" s="3" t="s">
        <v>75</v>
      </c>
      <c r="AY98" s="3" t="s">
        <v>76</v>
      </c>
    </row>
    <row r="99" spans="1:51" ht="140">
      <c r="A99" t="s">
        <v>436</v>
      </c>
      <c r="B99" t="s">
        <v>437</v>
      </c>
      <c r="C99" t="s">
        <v>389</v>
      </c>
      <c r="D99" t="s">
        <v>390</v>
      </c>
      <c r="E99" t="s">
        <v>79</v>
      </c>
      <c r="F99" s="4">
        <v>36.210720000000002</v>
      </c>
      <c r="G99" s="4">
        <v>28.017939999999999</v>
      </c>
      <c r="H99" s="5">
        <v>3.4</v>
      </c>
      <c r="I99" t="s">
        <v>57</v>
      </c>
      <c r="J99" t="s">
        <v>71</v>
      </c>
      <c r="K99" t="s">
        <v>71</v>
      </c>
      <c r="L99" t="s">
        <v>71</v>
      </c>
      <c r="M99" t="s">
        <v>57</v>
      </c>
      <c r="N99" t="s">
        <v>57</v>
      </c>
      <c r="O99" t="s">
        <v>57</v>
      </c>
      <c r="P99" t="s">
        <v>57</v>
      </c>
      <c r="Q99" s="5"/>
      <c r="R99" s="5"/>
      <c r="S99" t="s">
        <v>58</v>
      </c>
      <c r="T99" t="s">
        <v>81</v>
      </c>
      <c r="U99" s="6" t="s">
        <v>338</v>
      </c>
      <c r="V99" s="6" t="s">
        <v>83</v>
      </c>
      <c r="W99" s="10"/>
      <c r="X99" s="6" t="s">
        <v>83</v>
      </c>
      <c r="Y99" s="6" t="s">
        <v>83</v>
      </c>
      <c r="Z99" s="6" t="s">
        <v>83</v>
      </c>
      <c r="AA99" s="6" t="s">
        <v>83</v>
      </c>
      <c r="AB99" s="6" t="s">
        <v>83</v>
      </c>
      <c r="AC99" s="6" t="s">
        <v>83</v>
      </c>
      <c r="AD99" s="6" t="s">
        <v>83</v>
      </c>
      <c r="AE99" s="6" t="s">
        <v>83</v>
      </c>
      <c r="AF99" s="6" t="s">
        <v>63</v>
      </c>
      <c r="AG99" s="6" t="s">
        <v>63</v>
      </c>
      <c r="AH99" s="7" t="s">
        <v>438</v>
      </c>
      <c r="AI99" s="7" t="s">
        <v>439</v>
      </c>
      <c r="AJ99" s="7" t="s">
        <v>341</v>
      </c>
      <c r="AK99" s="3" t="s">
        <v>62</v>
      </c>
      <c r="AL99" s="3" t="s">
        <v>62</v>
      </c>
      <c r="AM99" s="3" t="s">
        <v>85</v>
      </c>
      <c r="AN99" s="3" t="s">
        <v>67</v>
      </c>
      <c r="AO99" s="3" t="s">
        <v>86</v>
      </c>
      <c r="AP99" s="3" t="s">
        <v>87</v>
      </c>
      <c r="AQ99" s="3">
        <v>46213</v>
      </c>
      <c r="AR99" s="3" t="s">
        <v>88</v>
      </c>
      <c r="AS99" s="3" t="s">
        <v>89</v>
      </c>
      <c r="AT99" s="3" t="s">
        <v>90</v>
      </c>
      <c r="AU99" s="3" t="s">
        <v>73</v>
      </c>
      <c r="AV99" s="3" t="s">
        <v>89</v>
      </c>
      <c r="AW99" s="3" t="s">
        <v>91</v>
      </c>
      <c r="AX99" s="3" t="s">
        <v>75</v>
      </c>
      <c r="AY99" s="3" t="s">
        <v>76</v>
      </c>
    </row>
    <row r="100" spans="1:51" ht="182">
      <c r="A100" t="s">
        <v>440</v>
      </c>
      <c r="B100" t="s">
        <v>441</v>
      </c>
      <c r="C100" t="s">
        <v>442</v>
      </c>
      <c r="D100" t="s">
        <v>390</v>
      </c>
      <c r="E100" t="s">
        <v>79</v>
      </c>
      <c r="F100" s="4">
        <v>36.615699999999997</v>
      </c>
      <c r="G100" s="4">
        <v>27.837800000000001</v>
      </c>
      <c r="H100" s="5">
        <v>3.3</v>
      </c>
      <c r="I100" t="s">
        <v>57</v>
      </c>
      <c r="J100" t="s">
        <v>71</v>
      </c>
      <c r="K100" t="s">
        <v>71</v>
      </c>
      <c r="L100" t="s">
        <v>71</v>
      </c>
      <c r="M100" t="s">
        <v>57</v>
      </c>
      <c r="N100" t="s">
        <v>57</v>
      </c>
      <c r="O100" t="s">
        <v>57</v>
      </c>
      <c r="P100" t="s">
        <v>57</v>
      </c>
      <c r="Q100" s="5"/>
      <c r="R100" s="5"/>
      <c r="S100" t="s">
        <v>108</v>
      </c>
      <c r="T100" t="s">
        <v>81</v>
      </c>
      <c r="U100" s="6" t="s">
        <v>338</v>
      </c>
      <c r="V100" s="6" t="s">
        <v>443</v>
      </c>
      <c r="W100" s="10"/>
      <c r="X100" s="6" t="s">
        <v>63</v>
      </c>
      <c r="Y100" s="6" t="s">
        <v>63</v>
      </c>
      <c r="Z100" s="6" t="s">
        <v>63</v>
      </c>
      <c r="AA100" s="6" t="s">
        <v>63</v>
      </c>
      <c r="AB100" s="6" t="s">
        <v>83</v>
      </c>
      <c r="AC100" s="6" t="s">
        <v>63</v>
      </c>
      <c r="AD100" s="6" t="s">
        <v>83</v>
      </c>
      <c r="AE100" s="6" t="s">
        <v>83</v>
      </c>
      <c r="AF100" s="6" t="s">
        <v>63</v>
      </c>
      <c r="AG100" s="6" t="s">
        <v>63</v>
      </c>
      <c r="AH100" s="7" t="s">
        <v>444</v>
      </c>
      <c r="AI100" s="7" t="s">
        <v>445</v>
      </c>
      <c r="AJ100" s="7" t="s">
        <v>341</v>
      </c>
      <c r="AK100" s="3" t="s">
        <v>62</v>
      </c>
      <c r="AL100" s="3" t="s">
        <v>62</v>
      </c>
      <c r="AM100" s="3" t="s">
        <v>66</v>
      </c>
      <c r="AN100" s="3" t="s">
        <v>67</v>
      </c>
      <c r="AO100" s="3" t="s">
        <v>68</v>
      </c>
      <c r="AP100" s="3" t="s">
        <v>446</v>
      </c>
      <c r="AQ100" s="3">
        <v>46213</v>
      </c>
      <c r="AR100" s="3" t="s">
        <v>70</v>
      </c>
      <c r="AS100" s="3" t="s">
        <v>89</v>
      </c>
      <c r="AT100" s="3" t="s">
        <v>90</v>
      </c>
      <c r="AU100" s="3" t="s">
        <v>73</v>
      </c>
      <c r="AV100" s="3" t="s">
        <v>89</v>
      </c>
      <c r="AW100" s="3" t="s">
        <v>91</v>
      </c>
      <c r="AX100" s="3" t="s">
        <v>75</v>
      </c>
      <c r="AY100" s="3" t="s">
        <v>76</v>
      </c>
    </row>
    <row r="101" spans="1:51" ht="140">
      <c r="A101" t="s">
        <v>447</v>
      </c>
      <c r="B101" t="s">
        <v>448</v>
      </c>
      <c r="C101" t="s">
        <v>442</v>
      </c>
      <c r="D101" t="s">
        <v>390</v>
      </c>
      <c r="E101" t="s">
        <v>94</v>
      </c>
      <c r="F101" s="4">
        <v>36.61</v>
      </c>
      <c r="G101" s="4">
        <v>27.856999999999999</v>
      </c>
      <c r="H101" s="5">
        <v>3.7</v>
      </c>
      <c r="I101" t="s">
        <v>57</v>
      </c>
      <c r="J101" t="s">
        <v>71</v>
      </c>
      <c r="K101" t="s">
        <v>95</v>
      </c>
      <c r="L101" t="s">
        <v>71</v>
      </c>
      <c r="M101" t="s">
        <v>57</v>
      </c>
      <c r="N101" t="s">
        <v>57</v>
      </c>
      <c r="O101" t="s">
        <v>56</v>
      </c>
      <c r="P101" t="s">
        <v>57</v>
      </c>
      <c r="Q101" s="5"/>
      <c r="R101" s="5"/>
      <c r="S101" t="s">
        <v>405</v>
      </c>
      <c r="T101" t="s">
        <v>114</v>
      </c>
      <c r="U101" s="6" t="s">
        <v>338</v>
      </c>
      <c r="V101" s="6" t="s">
        <v>83</v>
      </c>
      <c r="W101" s="10"/>
      <c r="X101" s="6" t="s">
        <v>123</v>
      </c>
      <c r="Y101" s="6" t="s">
        <v>63</v>
      </c>
      <c r="Z101" s="6" t="s">
        <v>63</v>
      </c>
      <c r="AA101" s="6" t="s">
        <v>83</v>
      </c>
      <c r="AB101" s="6" t="s">
        <v>123</v>
      </c>
      <c r="AC101" s="6" t="s">
        <v>63</v>
      </c>
      <c r="AD101" s="6" t="s">
        <v>83</v>
      </c>
      <c r="AE101" s="6" t="s">
        <v>123</v>
      </c>
      <c r="AF101" s="6" t="s">
        <v>63</v>
      </c>
      <c r="AG101" s="6" t="s">
        <v>63</v>
      </c>
      <c r="AH101" s="7" t="s">
        <v>449</v>
      </c>
      <c r="AI101" s="7" t="s">
        <v>450</v>
      </c>
      <c r="AJ101" s="7" t="s">
        <v>341</v>
      </c>
      <c r="AK101" s="3" t="s">
        <v>62</v>
      </c>
      <c r="AL101" s="3" t="s">
        <v>62</v>
      </c>
      <c r="AM101" s="3" t="s">
        <v>66</v>
      </c>
      <c r="AN101" s="3" t="s">
        <v>67</v>
      </c>
      <c r="AO101" s="3" t="s">
        <v>68</v>
      </c>
      <c r="AP101" s="3" t="s">
        <v>451</v>
      </c>
      <c r="AQ101" s="3">
        <v>46213</v>
      </c>
      <c r="AR101" s="3" t="s">
        <v>70</v>
      </c>
      <c r="AS101" s="3" t="s">
        <v>95</v>
      </c>
      <c r="AT101" s="3" t="s">
        <v>100</v>
      </c>
      <c r="AU101" s="3" t="s">
        <v>73</v>
      </c>
      <c r="AV101" s="3" t="s">
        <v>95</v>
      </c>
      <c r="AW101" s="3" t="s">
        <v>101</v>
      </c>
      <c r="AX101" s="3" t="s">
        <v>75</v>
      </c>
      <c r="AY101" s="3" t="s">
        <v>76</v>
      </c>
    </row>
    <row r="102" spans="1:51" ht="140">
      <c r="A102" t="s">
        <v>452</v>
      </c>
      <c r="B102" t="s">
        <v>453</v>
      </c>
      <c r="C102" t="s">
        <v>442</v>
      </c>
      <c r="D102" t="s">
        <v>390</v>
      </c>
      <c r="E102" t="s">
        <v>94</v>
      </c>
      <c r="F102" s="4">
        <v>36.6</v>
      </c>
      <c r="G102" s="4">
        <v>27.852460000000001</v>
      </c>
      <c r="H102" s="5">
        <v>4</v>
      </c>
      <c r="I102" t="s">
        <v>57</v>
      </c>
      <c r="J102" t="s">
        <v>71</v>
      </c>
      <c r="K102" t="s">
        <v>95</v>
      </c>
      <c r="L102" t="s">
        <v>71</v>
      </c>
      <c r="M102" t="s">
        <v>57</v>
      </c>
      <c r="N102" t="s">
        <v>57</v>
      </c>
      <c r="O102" t="s">
        <v>56</v>
      </c>
      <c r="P102" t="s">
        <v>57</v>
      </c>
      <c r="Q102" s="5"/>
      <c r="R102" s="5"/>
      <c r="S102" t="s">
        <v>113</v>
      </c>
      <c r="T102" t="s">
        <v>114</v>
      </c>
      <c r="U102" s="8" t="s">
        <v>351</v>
      </c>
      <c r="V102" s="8" t="s">
        <v>98</v>
      </c>
      <c r="W102" s="10"/>
      <c r="X102" s="8" t="s">
        <v>98</v>
      </c>
      <c r="Y102" s="8" t="s">
        <v>98</v>
      </c>
      <c r="Z102" s="8" t="s">
        <v>98</v>
      </c>
      <c r="AA102" s="8" t="s">
        <v>98</v>
      </c>
      <c r="AB102" s="8" t="s">
        <v>98</v>
      </c>
      <c r="AC102" s="8" t="s">
        <v>98</v>
      </c>
      <c r="AD102" s="8" t="s">
        <v>98</v>
      </c>
      <c r="AE102" s="8" t="s">
        <v>98</v>
      </c>
      <c r="AF102" s="8" t="s">
        <v>123</v>
      </c>
      <c r="AG102" s="8" t="s">
        <v>63</v>
      </c>
      <c r="AH102" s="9" t="s">
        <v>454</v>
      </c>
      <c r="AI102" s="9" t="s">
        <v>455</v>
      </c>
      <c r="AJ102" s="9" t="s">
        <v>341</v>
      </c>
      <c r="AK102" s="3" t="s">
        <v>62</v>
      </c>
      <c r="AL102" s="3" t="s">
        <v>62</v>
      </c>
      <c r="AM102" s="3" t="s">
        <v>85</v>
      </c>
      <c r="AN102" s="3" t="s">
        <v>67</v>
      </c>
      <c r="AO102" s="3" t="s">
        <v>86</v>
      </c>
      <c r="AP102" s="3" t="s">
        <v>87</v>
      </c>
      <c r="AQ102" s="3">
        <v>46213</v>
      </c>
      <c r="AR102" s="3" t="s">
        <v>88</v>
      </c>
      <c r="AS102" s="3" t="s">
        <v>95</v>
      </c>
      <c r="AT102" s="3" t="s">
        <v>100</v>
      </c>
      <c r="AU102" s="3" t="s">
        <v>73</v>
      </c>
      <c r="AV102" s="3" t="s">
        <v>95</v>
      </c>
      <c r="AW102" s="3" t="s">
        <v>101</v>
      </c>
      <c r="AX102" s="3" t="s">
        <v>75</v>
      </c>
      <c r="AY102" s="3" t="s">
        <v>76</v>
      </c>
    </row>
    <row r="103" spans="1:51" ht="140">
      <c r="A103" t="s">
        <v>456</v>
      </c>
      <c r="B103" t="s">
        <v>457</v>
      </c>
      <c r="C103" t="s">
        <v>442</v>
      </c>
      <c r="D103" t="s">
        <v>390</v>
      </c>
      <c r="E103" t="s">
        <v>94</v>
      </c>
      <c r="F103" s="4">
        <v>36.606760000000001</v>
      </c>
      <c r="G103" s="4">
        <v>27.830819999999999</v>
      </c>
      <c r="H103" s="5">
        <v>3.6</v>
      </c>
      <c r="I103" t="s">
        <v>57</v>
      </c>
      <c r="J103" t="s">
        <v>71</v>
      </c>
      <c r="K103" t="s">
        <v>95</v>
      </c>
      <c r="L103" t="s">
        <v>71</v>
      </c>
      <c r="M103" t="s">
        <v>57</v>
      </c>
      <c r="N103" t="s">
        <v>57</v>
      </c>
      <c r="O103" t="s">
        <v>56</v>
      </c>
      <c r="P103" t="s">
        <v>57</v>
      </c>
      <c r="Q103" s="5"/>
      <c r="R103" s="5"/>
      <c r="S103" t="s">
        <v>180</v>
      </c>
      <c r="T103" t="s">
        <v>57</v>
      </c>
      <c r="U103" s="8" t="s">
        <v>97</v>
      </c>
      <c r="V103" s="8" t="s">
        <v>98</v>
      </c>
      <c r="W103" s="10"/>
      <c r="X103" s="8" t="s">
        <v>98</v>
      </c>
      <c r="Y103" s="8" t="s">
        <v>98</v>
      </c>
      <c r="Z103" s="8" t="s">
        <v>98</v>
      </c>
      <c r="AA103" s="8" t="s">
        <v>98</v>
      </c>
      <c r="AB103" s="8" t="s">
        <v>98</v>
      </c>
      <c r="AC103" s="8" t="s">
        <v>98</v>
      </c>
      <c r="AD103" s="8" t="s">
        <v>98</v>
      </c>
      <c r="AE103" s="8" t="s">
        <v>98</v>
      </c>
      <c r="AF103" s="8" t="s">
        <v>123</v>
      </c>
      <c r="AG103" s="8" t="s">
        <v>63</v>
      </c>
      <c r="AH103" s="9" t="s">
        <v>458</v>
      </c>
      <c r="AI103" s="9" t="s">
        <v>459</v>
      </c>
      <c r="AJ103" s="9" t="s">
        <v>341</v>
      </c>
      <c r="AK103" s="3" t="s">
        <v>62</v>
      </c>
      <c r="AL103" s="3" t="s">
        <v>62</v>
      </c>
      <c r="AM103" s="3" t="s">
        <v>85</v>
      </c>
      <c r="AN103" s="3" t="s">
        <v>67</v>
      </c>
      <c r="AO103" s="3" t="s">
        <v>86</v>
      </c>
      <c r="AP103" s="3" t="s">
        <v>87</v>
      </c>
      <c r="AQ103" s="3">
        <v>46213</v>
      </c>
      <c r="AR103" s="3" t="s">
        <v>88</v>
      </c>
      <c r="AS103" s="3" t="s">
        <v>95</v>
      </c>
      <c r="AT103" s="3" t="s">
        <v>100</v>
      </c>
      <c r="AU103" s="3" t="s">
        <v>73</v>
      </c>
      <c r="AV103" s="3" t="s">
        <v>95</v>
      </c>
      <c r="AW103" s="3" t="s">
        <v>101</v>
      </c>
      <c r="AX103" s="3" t="s">
        <v>75</v>
      </c>
      <c r="AY103" s="3" t="s">
        <v>76</v>
      </c>
    </row>
    <row r="104" spans="1:51" ht="182">
      <c r="A104" t="s">
        <v>460</v>
      </c>
      <c r="B104" t="s">
        <v>461</v>
      </c>
      <c r="C104" t="s">
        <v>442</v>
      </c>
      <c r="D104" t="s">
        <v>390</v>
      </c>
      <c r="E104" t="s">
        <v>94</v>
      </c>
      <c r="F104" s="4">
        <v>36.551000000000002</v>
      </c>
      <c r="G104" s="4">
        <v>27.844000000000001</v>
      </c>
      <c r="H104" s="5">
        <v>4.0999999999999996</v>
      </c>
      <c r="I104" t="s">
        <v>57</v>
      </c>
      <c r="J104" t="s">
        <v>71</v>
      </c>
      <c r="K104" t="s">
        <v>95</v>
      </c>
      <c r="L104" t="s">
        <v>71</v>
      </c>
      <c r="M104" t="s">
        <v>57</v>
      </c>
      <c r="N104" t="s">
        <v>57</v>
      </c>
      <c r="O104" t="s">
        <v>56</v>
      </c>
      <c r="P104" t="s">
        <v>57</v>
      </c>
      <c r="Q104" s="5"/>
      <c r="R104" s="5"/>
      <c r="S104" t="s">
        <v>405</v>
      </c>
      <c r="T104" t="s">
        <v>114</v>
      </c>
      <c r="U104" s="8" t="s">
        <v>338</v>
      </c>
      <c r="V104" s="8" t="s">
        <v>83</v>
      </c>
      <c r="W104" s="10"/>
      <c r="X104" s="8" t="s">
        <v>83</v>
      </c>
      <c r="Y104" s="8" t="s">
        <v>63</v>
      </c>
      <c r="Z104" s="8" t="s">
        <v>63</v>
      </c>
      <c r="AA104" s="8" t="s">
        <v>83</v>
      </c>
      <c r="AB104" s="8" t="s">
        <v>123</v>
      </c>
      <c r="AC104" s="8" t="s">
        <v>83</v>
      </c>
      <c r="AD104" s="8" t="s">
        <v>83</v>
      </c>
      <c r="AE104" s="8" t="s">
        <v>123</v>
      </c>
      <c r="AF104" s="8" t="s">
        <v>83</v>
      </c>
      <c r="AG104" s="8" t="s">
        <v>63</v>
      </c>
      <c r="AH104" s="9" t="s">
        <v>462</v>
      </c>
      <c r="AI104" s="9" t="s">
        <v>463</v>
      </c>
      <c r="AJ104" s="9" t="s">
        <v>341</v>
      </c>
      <c r="AK104" s="3" t="s">
        <v>62</v>
      </c>
      <c r="AL104" s="3" t="s">
        <v>62</v>
      </c>
      <c r="AM104" s="3" t="s">
        <v>66</v>
      </c>
      <c r="AN104" s="3" t="s">
        <v>67</v>
      </c>
      <c r="AO104" s="3" t="s">
        <v>68</v>
      </c>
      <c r="AP104" s="3" t="s">
        <v>464</v>
      </c>
      <c r="AQ104" s="3">
        <v>46213</v>
      </c>
      <c r="AR104" s="3" t="s">
        <v>70</v>
      </c>
      <c r="AS104" s="3" t="s">
        <v>95</v>
      </c>
      <c r="AT104" s="3" t="s">
        <v>100</v>
      </c>
      <c r="AU104" s="3" t="s">
        <v>73</v>
      </c>
      <c r="AV104" s="3" t="s">
        <v>95</v>
      </c>
      <c r="AW104" s="3" t="s">
        <v>101</v>
      </c>
      <c r="AX104" s="3" t="s">
        <v>75</v>
      </c>
      <c r="AY104" s="3" t="s">
        <v>76</v>
      </c>
    </row>
    <row r="105" spans="1:51" ht="140">
      <c r="A105" t="s">
        <v>465</v>
      </c>
      <c r="B105" t="s">
        <v>466</v>
      </c>
      <c r="C105" t="s">
        <v>442</v>
      </c>
      <c r="D105" t="s">
        <v>390</v>
      </c>
      <c r="E105" t="s">
        <v>94</v>
      </c>
      <c r="F105" s="4">
        <v>36.590040000000002</v>
      </c>
      <c r="G105" s="4">
        <v>27.841090000000001</v>
      </c>
      <c r="H105" s="5">
        <v>3.6</v>
      </c>
      <c r="I105" t="s">
        <v>57</v>
      </c>
      <c r="J105" t="s">
        <v>71</v>
      </c>
      <c r="K105" t="s">
        <v>95</v>
      </c>
      <c r="L105" t="s">
        <v>71</v>
      </c>
      <c r="M105" t="s">
        <v>57</v>
      </c>
      <c r="N105" t="s">
        <v>57</v>
      </c>
      <c r="O105" t="s">
        <v>56</v>
      </c>
      <c r="P105" t="s">
        <v>57</v>
      </c>
      <c r="Q105" s="5"/>
      <c r="R105" s="5"/>
      <c r="S105" t="s">
        <v>96</v>
      </c>
      <c r="T105" t="s">
        <v>57</v>
      </c>
      <c r="U105" s="8" t="s">
        <v>351</v>
      </c>
      <c r="V105" s="8" t="s">
        <v>98</v>
      </c>
      <c r="W105" s="10"/>
      <c r="X105" s="8" t="s">
        <v>98</v>
      </c>
      <c r="Y105" s="8" t="s">
        <v>98</v>
      </c>
      <c r="Z105" s="8" t="s">
        <v>98</v>
      </c>
      <c r="AA105" s="8" t="s">
        <v>98</v>
      </c>
      <c r="AB105" s="8" t="s">
        <v>98</v>
      </c>
      <c r="AC105" s="8" t="s">
        <v>98</v>
      </c>
      <c r="AD105" s="8" t="s">
        <v>98</v>
      </c>
      <c r="AE105" s="8" t="s">
        <v>98</v>
      </c>
      <c r="AF105" s="8" t="s">
        <v>123</v>
      </c>
      <c r="AG105" s="8" t="s">
        <v>83</v>
      </c>
      <c r="AH105" s="9" t="s">
        <v>467</v>
      </c>
      <c r="AI105" s="9" t="s">
        <v>468</v>
      </c>
      <c r="AJ105" s="9" t="s">
        <v>65</v>
      </c>
      <c r="AK105" s="3" t="s">
        <v>62</v>
      </c>
      <c r="AL105" s="3" t="s">
        <v>62</v>
      </c>
      <c r="AM105" s="3" t="s">
        <v>85</v>
      </c>
      <c r="AN105" s="3" t="s">
        <v>67</v>
      </c>
      <c r="AO105" s="3" t="s">
        <v>86</v>
      </c>
      <c r="AP105" s="3" t="s">
        <v>87</v>
      </c>
      <c r="AQ105" s="3">
        <v>46213</v>
      </c>
      <c r="AR105" s="3" t="s">
        <v>88</v>
      </c>
      <c r="AS105" s="3" t="s">
        <v>95</v>
      </c>
      <c r="AT105" s="3" t="s">
        <v>100</v>
      </c>
      <c r="AU105" s="3" t="s">
        <v>73</v>
      </c>
      <c r="AV105" s="3" t="s">
        <v>95</v>
      </c>
      <c r="AW105" s="3" t="s">
        <v>101</v>
      </c>
      <c r="AX105" s="3" t="s">
        <v>75</v>
      </c>
      <c r="AY105" s="3" t="s">
        <v>76</v>
      </c>
    </row>
    <row r="106" spans="1:51" ht="140">
      <c r="A106" t="s">
        <v>469</v>
      </c>
      <c r="B106" t="s">
        <v>470</v>
      </c>
      <c r="C106" t="s">
        <v>442</v>
      </c>
      <c r="D106" t="s">
        <v>390</v>
      </c>
      <c r="E106" t="s">
        <v>94</v>
      </c>
      <c r="F106" s="4">
        <v>36.612690000000001</v>
      </c>
      <c r="G106" s="4">
        <v>27.852129999999999</v>
      </c>
      <c r="H106" s="5">
        <v>3.4</v>
      </c>
      <c r="I106" t="s">
        <v>57</v>
      </c>
      <c r="J106" t="s">
        <v>71</v>
      </c>
      <c r="K106" t="s">
        <v>95</v>
      </c>
      <c r="L106" t="s">
        <v>71</v>
      </c>
      <c r="M106" t="s">
        <v>57</v>
      </c>
      <c r="N106" t="s">
        <v>57</v>
      </c>
      <c r="O106" t="s">
        <v>56</v>
      </c>
      <c r="P106" t="s">
        <v>57</v>
      </c>
      <c r="Q106" s="5"/>
      <c r="R106" s="5"/>
      <c r="S106" t="s">
        <v>96</v>
      </c>
      <c r="T106" t="s">
        <v>57</v>
      </c>
      <c r="U106" s="8" t="s">
        <v>351</v>
      </c>
      <c r="V106" s="8" t="s">
        <v>98</v>
      </c>
      <c r="W106" s="10"/>
      <c r="X106" s="8" t="s">
        <v>98</v>
      </c>
      <c r="Y106" s="8" t="s">
        <v>98</v>
      </c>
      <c r="Z106" s="8" t="s">
        <v>98</v>
      </c>
      <c r="AA106" s="8" t="s">
        <v>98</v>
      </c>
      <c r="AB106" s="8" t="s">
        <v>98</v>
      </c>
      <c r="AC106" s="8" t="s">
        <v>98</v>
      </c>
      <c r="AD106" s="8" t="s">
        <v>98</v>
      </c>
      <c r="AE106" s="8" t="s">
        <v>98</v>
      </c>
      <c r="AF106" s="8" t="s">
        <v>83</v>
      </c>
      <c r="AG106" s="8" t="s">
        <v>63</v>
      </c>
      <c r="AH106" s="9" t="s">
        <v>471</v>
      </c>
      <c r="AI106" s="9" t="s">
        <v>472</v>
      </c>
      <c r="AJ106" s="9" t="s">
        <v>341</v>
      </c>
      <c r="AK106" s="3" t="s">
        <v>62</v>
      </c>
      <c r="AL106" s="3" t="s">
        <v>62</v>
      </c>
      <c r="AM106" s="3" t="s">
        <v>85</v>
      </c>
      <c r="AN106" s="3" t="s">
        <v>67</v>
      </c>
      <c r="AO106" s="3" t="s">
        <v>86</v>
      </c>
      <c r="AP106" s="3" t="s">
        <v>87</v>
      </c>
      <c r="AQ106" s="3">
        <v>46213</v>
      </c>
      <c r="AR106" s="3" t="s">
        <v>88</v>
      </c>
      <c r="AS106" s="3" t="s">
        <v>95</v>
      </c>
      <c r="AT106" s="3" t="s">
        <v>100</v>
      </c>
      <c r="AU106" s="3" t="s">
        <v>73</v>
      </c>
      <c r="AV106" s="3" t="s">
        <v>95</v>
      </c>
      <c r="AW106" s="3" t="s">
        <v>101</v>
      </c>
      <c r="AX106" s="3" t="s">
        <v>75</v>
      </c>
      <c r="AY106" s="3" t="s">
        <v>76</v>
      </c>
    </row>
    <row r="107" spans="1:51" ht="140">
      <c r="A107" t="s">
        <v>473</v>
      </c>
      <c r="B107" t="s">
        <v>474</v>
      </c>
      <c r="C107" t="s">
        <v>442</v>
      </c>
      <c r="D107" t="s">
        <v>390</v>
      </c>
      <c r="E107" t="s">
        <v>94</v>
      </c>
      <c r="F107" s="4">
        <v>36.59722</v>
      </c>
      <c r="G107" s="4">
        <v>27.82037</v>
      </c>
      <c r="H107" s="5">
        <v>3.7</v>
      </c>
      <c r="I107" t="s">
        <v>57</v>
      </c>
      <c r="J107" t="s">
        <v>71</v>
      </c>
      <c r="K107" t="s">
        <v>95</v>
      </c>
      <c r="L107" t="s">
        <v>71</v>
      </c>
      <c r="M107" t="s">
        <v>57</v>
      </c>
      <c r="N107" t="s">
        <v>57</v>
      </c>
      <c r="O107" t="s">
        <v>56</v>
      </c>
      <c r="P107" t="s">
        <v>57</v>
      </c>
      <c r="Q107" s="5"/>
      <c r="R107" s="5"/>
      <c r="S107" t="s">
        <v>405</v>
      </c>
      <c r="T107" t="s">
        <v>114</v>
      </c>
      <c r="U107" s="8" t="s">
        <v>104</v>
      </c>
      <c r="V107" s="8" t="s">
        <v>98</v>
      </c>
      <c r="W107" s="10"/>
      <c r="X107" s="8" t="s">
        <v>98</v>
      </c>
      <c r="Y107" s="8" t="s">
        <v>98</v>
      </c>
      <c r="Z107" s="8" t="s">
        <v>98</v>
      </c>
      <c r="AA107" s="8" t="s">
        <v>98</v>
      </c>
      <c r="AB107" s="8" t="s">
        <v>98</v>
      </c>
      <c r="AC107" s="8" t="s">
        <v>98</v>
      </c>
      <c r="AD107" s="8" t="s">
        <v>98</v>
      </c>
      <c r="AE107" s="8" t="s">
        <v>98</v>
      </c>
      <c r="AF107" s="8" t="s">
        <v>123</v>
      </c>
      <c r="AG107" s="8" t="s">
        <v>123</v>
      </c>
      <c r="AH107" s="9" t="s">
        <v>475</v>
      </c>
      <c r="AI107" s="9" t="s">
        <v>476</v>
      </c>
      <c r="AJ107" s="9" t="s">
        <v>65</v>
      </c>
      <c r="AK107" s="3" t="s">
        <v>62</v>
      </c>
      <c r="AL107" s="3" t="s">
        <v>62</v>
      </c>
      <c r="AM107" s="3" t="s">
        <v>85</v>
      </c>
      <c r="AN107" s="3" t="s">
        <v>67</v>
      </c>
      <c r="AO107" s="3" t="s">
        <v>86</v>
      </c>
      <c r="AP107" s="3" t="s">
        <v>87</v>
      </c>
      <c r="AQ107" s="3">
        <v>46213</v>
      </c>
      <c r="AR107" s="3" t="s">
        <v>88</v>
      </c>
      <c r="AS107" s="3" t="s">
        <v>95</v>
      </c>
      <c r="AT107" s="3" t="s">
        <v>100</v>
      </c>
      <c r="AU107" s="3" t="s">
        <v>73</v>
      </c>
      <c r="AV107" s="3" t="s">
        <v>95</v>
      </c>
      <c r="AW107" s="3" t="s">
        <v>101</v>
      </c>
      <c r="AX107" s="3" t="s">
        <v>75</v>
      </c>
      <c r="AY107" s="3" t="s">
        <v>76</v>
      </c>
    </row>
    <row r="108" spans="1:51" ht="140">
      <c r="A108" t="s">
        <v>477</v>
      </c>
      <c r="B108" t="s">
        <v>478</v>
      </c>
      <c r="C108" t="s">
        <v>442</v>
      </c>
      <c r="D108" t="s">
        <v>390</v>
      </c>
      <c r="E108" t="s">
        <v>94</v>
      </c>
      <c r="F108" s="4">
        <v>36.5914</v>
      </c>
      <c r="G108" s="4">
        <v>27.856809999999999</v>
      </c>
      <c r="H108" s="5">
        <v>4</v>
      </c>
      <c r="I108" t="s">
        <v>57</v>
      </c>
      <c r="J108" t="s">
        <v>71</v>
      </c>
      <c r="K108" t="s">
        <v>95</v>
      </c>
      <c r="L108" t="s">
        <v>71</v>
      </c>
      <c r="M108" t="s">
        <v>57</v>
      </c>
      <c r="N108" t="s">
        <v>57</v>
      </c>
      <c r="O108" t="s">
        <v>56</v>
      </c>
      <c r="P108" t="s">
        <v>57</v>
      </c>
      <c r="Q108" s="5"/>
      <c r="R108" s="5"/>
      <c r="S108" t="s">
        <v>96</v>
      </c>
      <c r="T108" t="s">
        <v>57</v>
      </c>
      <c r="U108" s="8" t="s">
        <v>351</v>
      </c>
      <c r="V108" s="8" t="s">
        <v>98</v>
      </c>
      <c r="W108" s="10"/>
      <c r="X108" s="8" t="s">
        <v>98</v>
      </c>
      <c r="Y108" s="8" t="s">
        <v>98</v>
      </c>
      <c r="Z108" s="8" t="s">
        <v>98</v>
      </c>
      <c r="AA108" s="8" t="s">
        <v>98</v>
      </c>
      <c r="AB108" s="8" t="s">
        <v>98</v>
      </c>
      <c r="AC108" s="8" t="s">
        <v>98</v>
      </c>
      <c r="AD108" s="8" t="s">
        <v>98</v>
      </c>
      <c r="AE108" s="8" t="s">
        <v>98</v>
      </c>
      <c r="AF108" s="8" t="s">
        <v>123</v>
      </c>
      <c r="AG108" s="8" t="s">
        <v>123</v>
      </c>
      <c r="AH108" s="9" t="s">
        <v>479</v>
      </c>
      <c r="AI108" s="9" t="s">
        <v>480</v>
      </c>
      <c r="AJ108" s="9" t="s">
        <v>65</v>
      </c>
      <c r="AK108" s="3" t="s">
        <v>62</v>
      </c>
      <c r="AL108" s="3" t="s">
        <v>62</v>
      </c>
      <c r="AM108" s="3" t="s">
        <v>85</v>
      </c>
      <c r="AN108" s="3" t="s">
        <v>67</v>
      </c>
      <c r="AO108" s="3" t="s">
        <v>86</v>
      </c>
      <c r="AP108" s="3" t="s">
        <v>87</v>
      </c>
      <c r="AQ108" s="3">
        <v>46213</v>
      </c>
      <c r="AR108" s="3" t="s">
        <v>88</v>
      </c>
      <c r="AS108" s="3" t="s">
        <v>95</v>
      </c>
      <c r="AT108" s="3" t="s">
        <v>100</v>
      </c>
      <c r="AU108" s="3" t="s">
        <v>73</v>
      </c>
      <c r="AV108" s="3" t="s">
        <v>95</v>
      </c>
      <c r="AW108" s="3" t="s">
        <v>101</v>
      </c>
      <c r="AX108" s="3" t="s">
        <v>75</v>
      </c>
      <c r="AY108" s="3" t="s">
        <v>76</v>
      </c>
    </row>
    <row r="109" spans="1:51" ht="140">
      <c r="A109" t="s">
        <v>481</v>
      </c>
      <c r="B109" t="s">
        <v>482</v>
      </c>
      <c r="C109" t="s">
        <v>442</v>
      </c>
      <c r="D109" t="s">
        <v>390</v>
      </c>
      <c r="E109" t="s">
        <v>94</v>
      </c>
      <c r="F109" s="4">
        <v>36.621250000000003</v>
      </c>
      <c r="G109" s="4">
        <v>27.832909999999998</v>
      </c>
      <c r="H109" s="5">
        <v>3.4</v>
      </c>
      <c r="I109" t="s">
        <v>57</v>
      </c>
      <c r="J109" t="s">
        <v>71</v>
      </c>
      <c r="K109" t="s">
        <v>95</v>
      </c>
      <c r="L109" t="s">
        <v>71</v>
      </c>
      <c r="M109" t="s">
        <v>57</v>
      </c>
      <c r="N109" t="s">
        <v>57</v>
      </c>
      <c r="O109" t="s">
        <v>56</v>
      </c>
      <c r="P109" t="s">
        <v>57</v>
      </c>
      <c r="Q109" s="5"/>
      <c r="R109" s="5"/>
      <c r="S109" t="s">
        <v>96</v>
      </c>
      <c r="T109" t="s">
        <v>57</v>
      </c>
      <c r="U109" s="8" t="s">
        <v>351</v>
      </c>
      <c r="V109" s="8" t="s">
        <v>98</v>
      </c>
      <c r="W109" s="10"/>
      <c r="X109" s="8" t="s">
        <v>98</v>
      </c>
      <c r="Y109" s="8" t="s">
        <v>98</v>
      </c>
      <c r="Z109" s="8" t="s">
        <v>98</v>
      </c>
      <c r="AA109" s="8" t="s">
        <v>98</v>
      </c>
      <c r="AB109" s="8" t="s">
        <v>98</v>
      </c>
      <c r="AC109" s="8" t="s">
        <v>98</v>
      </c>
      <c r="AD109" s="8" t="s">
        <v>98</v>
      </c>
      <c r="AE109" s="8" t="s">
        <v>98</v>
      </c>
      <c r="AF109" s="8" t="s">
        <v>123</v>
      </c>
      <c r="AG109" s="8" t="s">
        <v>123</v>
      </c>
      <c r="AH109" s="9" t="s">
        <v>483</v>
      </c>
      <c r="AI109" s="9" t="s">
        <v>484</v>
      </c>
      <c r="AJ109" s="9" t="s">
        <v>65</v>
      </c>
      <c r="AK109" s="3" t="s">
        <v>62</v>
      </c>
      <c r="AL109" s="3" t="s">
        <v>62</v>
      </c>
      <c r="AM109" s="3" t="s">
        <v>85</v>
      </c>
      <c r="AN109" s="3" t="s">
        <v>67</v>
      </c>
      <c r="AO109" s="3" t="s">
        <v>86</v>
      </c>
      <c r="AP109" s="3" t="s">
        <v>87</v>
      </c>
      <c r="AQ109" s="3">
        <v>46213</v>
      </c>
      <c r="AR109" s="3" t="s">
        <v>88</v>
      </c>
      <c r="AS109" s="3" t="s">
        <v>95</v>
      </c>
      <c r="AT109" s="3" t="s">
        <v>100</v>
      </c>
      <c r="AU109" s="3" t="s">
        <v>73</v>
      </c>
      <c r="AV109" s="3" t="s">
        <v>95</v>
      </c>
      <c r="AW109" s="3" t="s">
        <v>101</v>
      </c>
      <c r="AX109" s="3" t="s">
        <v>75</v>
      </c>
      <c r="AY109" s="3" t="s">
        <v>76</v>
      </c>
    </row>
    <row r="110" spans="1:51" ht="140">
      <c r="A110" t="s">
        <v>485</v>
      </c>
      <c r="B110" t="s">
        <v>486</v>
      </c>
      <c r="C110" t="s">
        <v>442</v>
      </c>
      <c r="D110" t="s">
        <v>390</v>
      </c>
      <c r="E110" t="s">
        <v>94</v>
      </c>
      <c r="F110" s="4">
        <v>36.580489999999998</v>
      </c>
      <c r="G110" s="4">
        <v>27.827349999999999</v>
      </c>
      <c r="H110" s="5">
        <v>4.0999999999999996</v>
      </c>
      <c r="I110" t="s">
        <v>57</v>
      </c>
      <c r="J110" t="s">
        <v>71</v>
      </c>
      <c r="K110" t="s">
        <v>95</v>
      </c>
      <c r="L110" t="s">
        <v>71</v>
      </c>
      <c r="M110" t="s">
        <v>57</v>
      </c>
      <c r="N110" t="s">
        <v>57</v>
      </c>
      <c r="O110" t="s">
        <v>56</v>
      </c>
      <c r="P110" t="s">
        <v>57</v>
      </c>
      <c r="Q110" s="5"/>
      <c r="R110" s="5"/>
      <c r="S110" t="s">
        <v>96</v>
      </c>
      <c r="T110" t="s">
        <v>57</v>
      </c>
      <c r="U110" s="8" t="s">
        <v>351</v>
      </c>
      <c r="V110" s="8" t="s">
        <v>98</v>
      </c>
      <c r="W110" s="10"/>
      <c r="X110" s="8" t="s">
        <v>98</v>
      </c>
      <c r="Y110" s="8" t="s">
        <v>98</v>
      </c>
      <c r="Z110" s="8" t="s">
        <v>98</v>
      </c>
      <c r="AA110" s="8" t="s">
        <v>98</v>
      </c>
      <c r="AB110" s="8" t="s">
        <v>98</v>
      </c>
      <c r="AC110" s="8" t="s">
        <v>98</v>
      </c>
      <c r="AD110" s="8" t="s">
        <v>98</v>
      </c>
      <c r="AE110" s="8" t="s">
        <v>98</v>
      </c>
      <c r="AF110" s="8" t="s">
        <v>123</v>
      </c>
      <c r="AG110" s="8" t="s">
        <v>123</v>
      </c>
      <c r="AH110" s="9" t="s">
        <v>487</v>
      </c>
      <c r="AI110" s="9" t="s">
        <v>488</v>
      </c>
      <c r="AJ110" s="9" t="s">
        <v>65</v>
      </c>
      <c r="AK110" s="3" t="s">
        <v>62</v>
      </c>
      <c r="AL110" s="3" t="s">
        <v>62</v>
      </c>
      <c r="AM110" s="3" t="s">
        <v>85</v>
      </c>
      <c r="AN110" s="3" t="s">
        <v>67</v>
      </c>
      <c r="AO110" s="3" t="s">
        <v>86</v>
      </c>
      <c r="AP110" s="3" t="s">
        <v>87</v>
      </c>
      <c r="AQ110" s="3">
        <v>46213</v>
      </c>
      <c r="AR110" s="3" t="s">
        <v>88</v>
      </c>
      <c r="AS110" s="3" t="s">
        <v>95</v>
      </c>
      <c r="AT110" s="3" t="s">
        <v>100</v>
      </c>
      <c r="AU110" s="3" t="s">
        <v>73</v>
      </c>
      <c r="AV110" s="3" t="s">
        <v>95</v>
      </c>
      <c r="AW110" s="3" t="s">
        <v>101</v>
      </c>
      <c r="AX110" s="3" t="s">
        <v>75</v>
      </c>
      <c r="AY110" s="3" t="s">
        <v>76</v>
      </c>
    </row>
    <row r="111" spans="1:51" ht="140">
      <c r="A111" t="s">
        <v>489</v>
      </c>
      <c r="B111" t="s">
        <v>490</v>
      </c>
      <c r="C111" t="s">
        <v>442</v>
      </c>
      <c r="D111" t="s">
        <v>390</v>
      </c>
      <c r="E111" t="s">
        <v>94</v>
      </c>
      <c r="F111" s="4">
        <v>36.607520000000001</v>
      </c>
      <c r="G111" s="4">
        <v>27.865749999999998</v>
      </c>
      <c r="H111" s="5">
        <v>3.4</v>
      </c>
      <c r="I111" t="s">
        <v>57</v>
      </c>
      <c r="J111" t="s">
        <v>71</v>
      </c>
      <c r="K111" t="s">
        <v>95</v>
      </c>
      <c r="L111" t="s">
        <v>71</v>
      </c>
      <c r="M111" t="s">
        <v>71</v>
      </c>
      <c r="N111" t="s">
        <v>57</v>
      </c>
      <c r="O111" t="s">
        <v>56</v>
      </c>
      <c r="P111" t="s">
        <v>57</v>
      </c>
      <c r="Q111" s="5"/>
      <c r="R111" s="5"/>
      <c r="S111" t="s">
        <v>96</v>
      </c>
      <c r="T111" t="s">
        <v>57</v>
      </c>
      <c r="U111" s="8" t="s">
        <v>351</v>
      </c>
      <c r="V111" s="8" t="s">
        <v>98</v>
      </c>
      <c r="W111" s="10"/>
      <c r="X111" s="8" t="s">
        <v>98</v>
      </c>
      <c r="Y111" s="8" t="s">
        <v>98</v>
      </c>
      <c r="Z111" s="8" t="s">
        <v>98</v>
      </c>
      <c r="AA111" s="8" t="s">
        <v>98</v>
      </c>
      <c r="AB111" s="8" t="s">
        <v>98</v>
      </c>
      <c r="AC111" s="8" t="s">
        <v>98</v>
      </c>
      <c r="AD111" s="8" t="s">
        <v>98</v>
      </c>
      <c r="AE111" s="8" t="s">
        <v>98</v>
      </c>
      <c r="AF111" s="8" t="s">
        <v>83</v>
      </c>
      <c r="AG111" s="8" t="s">
        <v>63</v>
      </c>
      <c r="AH111" s="9" t="s">
        <v>491</v>
      </c>
      <c r="AI111" s="9" t="s">
        <v>492</v>
      </c>
      <c r="AJ111" s="9" t="s">
        <v>341</v>
      </c>
      <c r="AK111" s="3" t="s">
        <v>62</v>
      </c>
      <c r="AL111" s="3" t="s">
        <v>62</v>
      </c>
      <c r="AM111" s="3" t="s">
        <v>85</v>
      </c>
      <c r="AN111" s="3" t="s">
        <v>67</v>
      </c>
      <c r="AO111" s="3" t="s">
        <v>86</v>
      </c>
      <c r="AP111" s="3" t="s">
        <v>87</v>
      </c>
      <c r="AQ111" s="3">
        <v>46213</v>
      </c>
      <c r="AR111" s="3" t="s">
        <v>88</v>
      </c>
      <c r="AS111" s="3" t="s">
        <v>95</v>
      </c>
      <c r="AT111" s="3" t="s">
        <v>100</v>
      </c>
      <c r="AU111" s="3" t="s">
        <v>73</v>
      </c>
      <c r="AV111" s="3" t="s">
        <v>95</v>
      </c>
      <c r="AW111" s="3" t="s">
        <v>101</v>
      </c>
      <c r="AX111" s="3" t="s">
        <v>75</v>
      </c>
      <c r="AY111" s="3" t="s">
        <v>76</v>
      </c>
    </row>
    <row r="112" spans="1:51" ht="140">
      <c r="A112" t="s">
        <v>493</v>
      </c>
      <c r="B112" t="s">
        <v>494</v>
      </c>
      <c r="C112" t="s">
        <v>495</v>
      </c>
      <c r="D112" t="s">
        <v>390</v>
      </c>
      <c r="E112" t="s">
        <v>79</v>
      </c>
      <c r="F112" s="4">
        <v>36.417000000000002</v>
      </c>
      <c r="G112" s="4">
        <v>27.385000000000002</v>
      </c>
      <c r="H112" s="5">
        <v>3.6</v>
      </c>
      <c r="I112" t="s">
        <v>57</v>
      </c>
      <c r="J112" t="s">
        <v>71</v>
      </c>
      <c r="K112" t="s">
        <v>71</v>
      </c>
      <c r="L112" t="s">
        <v>71</v>
      </c>
      <c r="M112" t="s">
        <v>57</v>
      </c>
      <c r="N112" t="s">
        <v>57</v>
      </c>
      <c r="O112" t="s">
        <v>57</v>
      </c>
      <c r="P112" t="s">
        <v>57</v>
      </c>
      <c r="Q112" s="5"/>
      <c r="R112" s="5"/>
      <c r="S112" t="s">
        <v>108</v>
      </c>
      <c r="T112" t="s">
        <v>81</v>
      </c>
      <c r="U112" s="8" t="s">
        <v>338</v>
      </c>
      <c r="V112" s="8" t="s">
        <v>83</v>
      </c>
      <c r="W112" s="10"/>
      <c r="X112" s="8" t="s">
        <v>123</v>
      </c>
      <c r="Y112" s="8" t="s">
        <v>63</v>
      </c>
      <c r="Z112" s="8" t="s">
        <v>63</v>
      </c>
      <c r="AA112" s="8" t="s">
        <v>83</v>
      </c>
      <c r="AB112" s="8" t="s">
        <v>83</v>
      </c>
      <c r="AC112" s="8" t="s">
        <v>83</v>
      </c>
      <c r="AD112" s="8" t="s">
        <v>63</v>
      </c>
      <c r="AE112" s="8" t="s">
        <v>123</v>
      </c>
      <c r="AF112" s="8" t="s">
        <v>63</v>
      </c>
      <c r="AG112" s="8" t="s">
        <v>63</v>
      </c>
      <c r="AH112" s="9" t="s">
        <v>496</v>
      </c>
      <c r="AI112" s="9" t="s">
        <v>497</v>
      </c>
      <c r="AJ112" s="9" t="s">
        <v>341</v>
      </c>
      <c r="AK112" s="3" t="s">
        <v>62</v>
      </c>
      <c r="AL112" s="3" t="s">
        <v>62</v>
      </c>
      <c r="AM112" s="3" t="s">
        <v>66</v>
      </c>
      <c r="AN112" s="3" t="s">
        <v>67</v>
      </c>
      <c r="AO112" s="3" t="s">
        <v>68</v>
      </c>
      <c r="AP112" s="3" t="s">
        <v>498</v>
      </c>
      <c r="AQ112" s="3">
        <v>46213</v>
      </c>
      <c r="AR112" s="3" t="s">
        <v>70</v>
      </c>
      <c r="AS112" s="3" t="s">
        <v>89</v>
      </c>
      <c r="AT112" s="3" t="s">
        <v>90</v>
      </c>
      <c r="AU112" s="3" t="s">
        <v>73</v>
      </c>
      <c r="AV112" s="3" t="s">
        <v>89</v>
      </c>
      <c r="AW112" s="3" t="s">
        <v>91</v>
      </c>
      <c r="AX112" s="3" t="s">
        <v>75</v>
      </c>
      <c r="AY112" s="3" t="s">
        <v>76</v>
      </c>
    </row>
    <row r="113" spans="1:51" ht="140">
      <c r="A113" t="s">
        <v>499</v>
      </c>
      <c r="B113" t="s">
        <v>500</v>
      </c>
      <c r="C113" t="s">
        <v>495</v>
      </c>
      <c r="D113" t="s">
        <v>390</v>
      </c>
      <c r="E113" t="s">
        <v>94</v>
      </c>
      <c r="F113" s="4">
        <v>36.340000000000003</v>
      </c>
      <c r="G113" s="4">
        <v>27.512409999999999</v>
      </c>
      <c r="H113" s="5">
        <v>3.8</v>
      </c>
      <c r="I113" t="s">
        <v>57</v>
      </c>
      <c r="J113" t="s">
        <v>71</v>
      </c>
      <c r="K113" t="s">
        <v>95</v>
      </c>
      <c r="L113" t="s">
        <v>71</v>
      </c>
      <c r="M113" t="s">
        <v>57</v>
      </c>
      <c r="N113" t="s">
        <v>57</v>
      </c>
      <c r="O113" t="s">
        <v>56</v>
      </c>
      <c r="P113" t="s">
        <v>57</v>
      </c>
      <c r="Q113" s="5"/>
      <c r="R113" s="5"/>
      <c r="S113" t="s">
        <v>113</v>
      </c>
      <c r="T113" t="s">
        <v>114</v>
      </c>
      <c r="U113" s="8" t="s">
        <v>351</v>
      </c>
      <c r="V113" s="8" t="s">
        <v>98</v>
      </c>
      <c r="W113" s="10"/>
      <c r="X113" s="8" t="s">
        <v>98</v>
      </c>
      <c r="Y113" s="8" t="s">
        <v>98</v>
      </c>
      <c r="Z113" s="8" t="s">
        <v>98</v>
      </c>
      <c r="AA113" s="8" t="s">
        <v>98</v>
      </c>
      <c r="AB113" s="8" t="s">
        <v>98</v>
      </c>
      <c r="AC113" s="8" t="s">
        <v>98</v>
      </c>
      <c r="AD113" s="8" t="s">
        <v>98</v>
      </c>
      <c r="AE113" s="8" t="s">
        <v>98</v>
      </c>
      <c r="AF113" s="8" t="s">
        <v>123</v>
      </c>
      <c r="AG113" s="8" t="s">
        <v>63</v>
      </c>
      <c r="AH113" s="9" t="s">
        <v>501</v>
      </c>
      <c r="AI113" s="9" t="s">
        <v>502</v>
      </c>
      <c r="AJ113" s="9" t="s">
        <v>341</v>
      </c>
      <c r="AK113" s="3" t="s">
        <v>62</v>
      </c>
      <c r="AL113" s="3" t="s">
        <v>62</v>
      </c>
      <c r="AM113" s="3" t="s">
        <v>85</v>
      </c>
      <c r="AN113" s="3" t="s">
        <v>67</v>
      </c>
      <c r="AO113" s="3" t="s">
        <v>86</v>
      </c>
      <c r="AP113" s="3" t="s">
        <v>87</v>
      </c>
      <c r="AQ113" s="3">
        <v>46213</v>
      </c>
      <c r="AR113" s="3" t="s">
        <v>88</v>
      </c>
      <c r="AS113" s="3" t="s">
        <v>95</v>
      </c>
      <c r="AT113" s="3" t="s">
        <v>100</v>
      </c>
      <c r="AU113" s="3" t="s">
        <v>73</v>
      </c>
      <c r="AV113" s="3" t="s">
        <v>95</v>
      </c>
      <c r="AW113" s="3" t="s">
        <v>101</v>
      </c>
      <c r="AX113" s="3" t="s">
        <v>75</v>
      </c>
      <c r="AY113" s="3" t="s">
        <v>76</v>
      </c>
    </row>
    <row r="114" spans="1:51" ht="140">
      <c r="A114" t="s">
        <v>503</v>
      </c>
      <c r="B114" t="s">
        <v>504</v>
      </c>
      <c r="C114" t="s">
        <v>495</v>
      </c>
      <c r="D114" t="s">
        <v>390</v>
      </c>
      <c r="E114" t="s">
        <v>94</v>
      </c>
      <c r="F114" s="4">
        <v>36.346760000000003</v>
      </c>
      <c r="G114" s="4">
        <v>27.490849999999998</v>
      </c>
      <c r="H114" s="5">
        <v>3.8</v>
      </c>
      <c r="I114" t="s">
        <v>57</v>
      </c>
      <c r="J114" t="s">
        <v>71</v>
      </c>
      <c r="K114" t="s">
        <v>95</v>
      </c>
      <c r="L114" t="s">
        <v>71</v>
      </c>
      <c r="M114" t="s">
        <v>71</v>
      </c>
      <c r="N114" t="s">
        <v>57</v>
      </c>
      <c r="O114" t="s">
        <v>56</v>
      </c>
      <c r="P114" t="s">
        <v>57</v>
      </c>
      <c r="Q114" s="5"/>
      <c r="R114" s="5"/>
      <c r="S114" t="s">
        <v>405</v>
      </c>
      <c r="T114" t="s">
        <v>114</v>
      </c>
      <c r="U114" s="8" t="s">
        <v>104</v>
      </c>
      <c r="V114" s="8" t="s">
        <v>98</v>
      </c>
      <c r="W114" s="10"/>
      <c r="X114" s="8" t="s">
        <v>98</v>
      </c>
      <c r="Y114" s="8" t="s">
        <v>98</v>
      </c>
      <c r="Z114" s="8" t="s">
        <v>98</v>
      </c>
      <c r="AA114" s="8" t="s">
        <v>98</v>
      </c>
      <c r="AB114" s="8" t="s">
        <v>98</v>
      </c>
      <c r="AC114" s="8" t="s">
        <v>98</v>
      </c>
      <c r="AD114" s="8" t="s">
        <v>98</v>
      </c>
      <c r="AE114" s="8" t="s">
        <v>98</v>
      </c>
      <c r="AF114" s="8" t="s">
        <v>83</v>
      </c>
      <c r="AG114" s="8" t="s">
        <v>63</v>
      </c>
      <c r="AH114" s="9" t="s">
        <v>505</v>
      </c>
      <c r="AI114" s="9" t="s">
        <v>506</v>
      </c>
      <c r="AJ114" s="9" t="s">
        <v>341</v>
      </c>
      <c r="AK114" s="3" t="s">
        <v>62</v>
      </c>
      <c r="AL114" s="3" t="s">
        <v>62</v>
      </c>
      <c r="AM114" s="3" t="s">
        <v>85</v>
      </c>
      <c r="AN114" s="3" t="s">
        <v>67</v>
      </c>
      <c r="AO114" s="3" t="s">
        <v>86</v>
      </c>
      <c r="AP114" s="3" t="s">
        <v>87</v>
      </c>
      <c r="AQ114" s="3">
        <v>46213</v>
      </c>
      <c r="AR114" s="3" t="s">
        <v>88</v>
      </c>
      <c r="AS114" s="3" t="s">
        <v>95</v>
      </c>
      <c r="AT114" s="3" t="s">
        <v>100</v>
      </c>
      <c r="AU114" s="3" t="s">
        <v>73</v>
      </c>
      <c r="AV114" s="3" t="s">
        <v>95</v>
      </c>
      <c r="AW114" s="3" t="s">
        <v>101</v>
      </c>
      <c r="AX114" s="3" t="s">
        <v>75</v>
      </c>
      <c r="AY114" s="3" t="s">
        <v>76</v>
      </c>
    </row>
    <row r="115" spans="1:51" ht="140">
      <c r="A115" t="s">
        <v>507</v>
      </c>
      <c r="B115" t="s">
        <v>508</v>
      </c>
      <c r="C115" t="s">
        <v>495</v>
      </c>
      <c r="D115" t="s">
        <v>390</v>
      </c>
      <c r="E115" t="s">
        <v>94</v>
      </c>
      <c r="F115" s="4">
        <v>36.330039999999997</v>
      </c>
      <c r="G115" s="4">
        <v>27.501080000000002</v>
      </c>
      <c r="H115" s="5">
        <v>3.9</v>
      </c>
      <c r="I115" t="s">
        <v>57</v>
      </c>
      <c r="J115" t="s">
        <v>71</v>
      </c>
      <c r="K115" t="s">
        <v>95</v>
      </c>
      <c r="L115" t="s">
        <v>71</v>
      </c>
      <c r="M115" t="s">
        <v>71</v>
      </c>
      <c r="N115" t="s">
        <v>57</v>
      </c>
      <c r="O115" t="s">
        <v>56</v>
      </c>
      <c r="P115" t="s">
        <v>57</v>
      </c>
      <c r="Q115" s="5"/>
      <c r="R115" s="5"/>
      <c r="S115" t="s">
        <v>180</v>
      </c>
      <c r="T115" t="s">
        <v>57</v>
      </c>
      <c r="U115" s="8" t="s">
        <v>97</v>
      </c>
      <c r="V115" s="8" t="s">
        <v>98</v>
      </c>
      <c r="W115" s="10"/>
      <c r="X115" s="8" t="s">
        <v>98</v>
      </c>
      <c r="Y115" s="8" t="s">
        <v>98</v>
      </c>
      <c r="Z115" s="8" t="s">
        <v>98</v>
      </c>
      <c r="AA115" s="8" t="s">
        <v>98</v>
      </c>
      <c r="AB115" s="8" t="s">
        <v>98</v>
      </c>
      <c r="AC115" s="8" t="s">
        <v>98</v>
      </c>
      <c r="AD115" s="8" t="s">
        <v>98</v>
      </c>
      <c r="AE115" s="8" t="s">
        <v>98</v>
      </c>
      <c r="AF115" s="8" t="s">
        <v>123</v>
      </c>
      <c r="AG115" s="8" t="s">
        <v>123</v>
      </c>
      <c r="AH115" s="9" t="s">
        <v>509</v>
      </c>
      <c r="AI115" s="9" t="s">
        <v>510</v>
      </c>
      <c r="AJ115" s="9" t="s">
        <v>65</v>
      </c>
      <c r="AK115" s="3" t="s">
        <v>62</v>
      </c>
      <c r="AL115" s="3" t="s">
        <v>62</v>
      </c>
      <c r="AM115" s="3" t="s">
        <v>85</v>
      </c>
      <c r="AN115" s="3" t="s">
        <v>67</v>
      </c>
      <c r="AO115" s="3" t="s">
        <v>86</v>
      </c>
      <c r="AP115" s="3" t="s">
        <v>87</v>
      </c>
      <c r="AQ115" s="3">
        <v>46213</v>
      </c>
      <c r="AR115" s="3" t="s">
        <v>88</v>
      </c>
      <c r="AS115" s="3" t="s">
        <v>95</v>
      </c>
      <c r="AT115" s="3" t="s">
        <v>100</v>
      </c>
      <c r="AU115" s="3" t="s">
        <v>73</v>
      </c>
      <c r="AV115" s="3" t="s">
        <v>95</v>
      </c>
      <c r="AW115" s="3" t="s">
        <v>101</v>
      </c>
      <c r="AX115" s="3" t="s">
        <v>75</v>
      </c>
      <c r="AY115" s="3" t="s">
        <v>76</v>
      </c>
    </row>
    <row r="116" spans="1:51" ht="140">
      <c r="A116" t="s">
        <v>511</v>
      </c>
      <c r="B116" t="s">
        <v>512</v>
      </c>
      <c r="C116" t="s">
        <v>495</v>
      </c>
      <c r="D116" t="s">
        <v>390</v>
      </c>
      <c r="E116" t="s">
        <v>94</v>
      </c>
      <c r="F116" s="4">
        <v>36.352690000000003</v>
      </c>
      <c r="G116" s="4">
        <v>27.512090000000001</v>
      </c>
      <c r="H116" s="5">
        <v>4.2</v>
      </c>
      <c r="I116" t="s">
        <v>57</v>
      </c>
      <c r="J116" t="s">
        <v>71</v>
      </c>
      <c r="K116" t="s">
        <v>95</v>
      </c>
      <c r="L116" t="s">
        <v>71</v>
      </c>
      <c r="M116" t="s">
        <v>57</v>
      </c>
      <c r="N116" t="s">
        <v>57</v>
      </c>
      <c r="O116" t="s">
        <v>56</v>
      </c>
      <c r="P116" t="s">
        <v>57</v>
      </c>
      <c r="Q116" s="5"/>
      <c r="R116" s="5"/>
      <c r="S116" t="s">
        <v>96</v>
      </c>
      <c r="T116" t="s">
        <v>57</v>
      </c>
      <c r="U116" s="8" t="s">
        <v>351</v>
      </c>
      <c r="V116" s="8" t="s">
        <v>98</v>
      </c>
      <c r="W116" s="10"/>
      <c r="X116" s="8" t="s">
        <v>98</v>
      </c>
      <c r="Y116" s="8" t="s">
        <v>98</v>
      </c>
      <c r="Z116" s="8" t="s">
        <v>98</v>
      </c>
      <c r="AA116" s="8" t="s">
        <v>98</v>
      </c>
      <c r="AB116" s="8" t="s">
        <v>98</v>
      </c>
      <c r="AC116" s="8" t="s">
        <v>98</v>
      </c>
      <c r="AD116" s="8" t="s">
        <v>98</v>
      </c>
      <c r="AE116" s="8" t="s">
        <v>98</v>
      </c>
      <c r="AF116" s="8" t="s">
        <v>123</v>
      </c>
      <c r="AG116" s="8" t="s">
        <v>123</v>
      </c>
      <c r="AH116" s="9" t="s">
        <v>513</v>
      </c>
      <c r="AI116" s="9" t="s">
        <v>514</v>
      </c>
      <c r="AJ116" s="9" t="s">
        <v>65</v>
      </c>
      <c r="AK116" s="3" t="s">
        <v>62</v>
      </c>
      <c r="AL116" s="3" t="s">
        <v>62</v>
      </c>
      <c r="AM116" s="3" t="s">
        <v>85</v>
      </c>
      <c r="AN116" s="3" t="s">
        <v>67</v>
      </c>
      <c r="AO116" s="3" t="s">
        <v>86</v>
      </c>
      <c r="AP116" s="3" t="s">
        <v>87</v>
      </c>
      <c r="AQ116" s="3">
        <v>46213</v>
      </c>
      <c r="AR116" s="3" t="s">
        <v>88</v>
      </c>
      <c r="AS116" s="3" t="s">
        <v>95</v>
      </c>
      <c r="AT116" s="3" t="s">
        <v>100</v>
      </c>
      <c r="AU116" s="3" t="s">
        <v>73</v>
      </c>
      <c r="AV116" s="3" t="s">
        <v>95</v>
      </c>
      <c r="AW116" s="3" t="s">
        <v>101</v>
      </c>
      <c r="AX116" s="3" t="s">
        <v>75</v>
      </c>
      <c r="AY116" s="3" t="s">
        <v>76</v>
      </c>
    </row>
    <row r="117" spans="1:51" ht="140">
      <c r="A117" t="s">
        <v>515</v>
      </c>
      <c r="B117" t="s">
        <v>516</v>
      </c>
      <c r="C117" t="s">
        <v>495</v>
      </c>
      <c r="D117" t="s">
        <v>390</v>
      </c>
      <c r="E117" t="s">
        <v>79</v>
      </c>
      <c r="F117" s="4">
        <v>36.222000000000001</v>
      </c>
      <c r="G117" s="4">
        <v>27.611999999999998</v>
      </c>
      <c r="H117" s="5">
        <v>3.6</v>
      </c>
      <c r="I117" t="s">
        <v>57</v>
      </c>
      <c r="J117" t="s">
        <v>71</v>
      </c>
      <c r="K117" t="s">
        <v>71</v>
      </c>
      <c r="L117" t="s">
        <v>71</v>
      </c>
      <c r="M117" t="s">
        <v>57</v>
      </c>
      <c r="N117" t="s">
        <v>57</v>
      </c>
      <c r="O117" t="s">
        <v>57</v>
      </c>
      <c r="P117" t="s">
        <v>57</v>
      </c>
      <c r="Q117" s="5"/>
      <c r="R117" s="5"/>
      <c r="S117" t="s">
        <v>108</v>
      </c>
      <c r="T117" t="s">
        <v>81</v>
      </c>
      <c r="U117" s="8" t="s">
        <v>338</v>
      </c>
      <c r="V117" s="8" t="s">
        <v>443</v>
      </c>
      <c r="W117" s="10"/>
      <c r="X117" s="8" t="s">
        <v>83</v>
      </c>
      <c r="Y117" s="8" t="s">
        <v>63</v>
      </c>
      <c r="Z117" s="8" t="s">
        <v>63</v>
      </c>
      <c r="AA117" s="8" t="s">
        <v>63</v>
      </c>
      <c r="AB117" s="8" t="s">
        <v>83</v>
      </c>
      <c r="AC117" s="8" t="s">
        <v>63</v>
      </c>
      <c r="AD117" s="8" t="s">
        <v>83</v>
      </c>
      <c r="AE117" s="8" t="s">
        <v>123</v>
      </c>
      <c r="AF117" s="8" t="s">
        <v>63</v>
      </c>
      <c r="AG117" s="8" t="s">
        <v>63</v>
      </c>
      <c r="AH117" s="9" t="s">
        <v>517</v>
      </c>
      <c r="AI117" s="9" t="s">
        <v>518</v>
      </c>
      <c r="AJ117" s="9" t="s">
        <v>341</v>
      </c>
      <c r="AK117" s="3" t="s">
        <v>62</v>
      </c>
      <c r="AL117" s="3" t="s">
        <v>62</v>
      </c>
      <c r="AM117" s="3" t="s">
        <v>66</v>
      </c>
      <c r="AN117" s="3" t="s">
        <v>67</v>
      </c>
      <c r="AO117" s="3" t="s">
        <v>68</v>
      </c>
      <c r="AP117" s="3" t="s">
        <v>519</v>
      </c>
      <c r="AQ117" s="3">
        <v>46213</v>
      </c>
      <c r="AR117" s="3" t="s">
        <v>70</v>
      </c>
      <c r="AS117" s="3" t="s">
        <v>89</v>
      </c>
      <c r="AT117" s="3" t="s">
        <v>90</v>
      </c>
      <c r="AU117" s="3" t="s">
        <v>73</v>
      </c>
      <c r="AV117" s="3" t="s">
        <v>89</v>
      </c>
      <c r="AW117" s="3" t="s">
        <v>91</v>
      </c>
      <c r="AX117" s="3" t="s">
        <v>75</v>
      </c>
      <c r="AY117" s="3" t="s">
        <v>76</v>
      </c>
    </row>
    <row r="118" spans="1:51" ht="140">
      <c r="A118" t="s">
        <v>520</v>
      </c>
      <c r="B118" t="s">
        <v>521</v>
      </c>
      <c r="C118" t="s">
        <v>495</v>
      </c>
      <c r="D118" t="s">
        <v>390</v>
      </c>
      <c r="E118" t="s">
        <v>94</v>
      </c>
      <c r="F118" s="4">
        <v>36.337220000000002</v>
      </c>
      <c r="G118" s="4">
        <v>27.480440000000002</v>
      </c>
      <c r="H118" s="5">
        <v>4.0999999999999996</v>
      </c>
      <c r="I118" t="s">
        <v>57</v>
      </c>
      <c r="J118" t="s">
        <v>71</v>
      </c>
      <c r="K118" t="s">
        <v>95</v>
      </c>
      <c r="L118" t="s">
        <v>71</v>
      </c>
      <c r="M118" t="s">
        <v>71</v>
      </c>
      <c r="N118" t="s">
        <v>57</v>
      </c>
      <c r="O118" t="s">
        <v>56</v>
      </c>
      <c r="P118" t="s">
        <v>57</v>
      </c>
      <c r="Q118" s="5"/>
      <c r="R118" s="5"/>
      <c r="S118" t="s">
        <v>405</v>
      </c>
      <c r="T118" t="s">
        <v>114</v>
      </c>
      <c r="U118" s="8" t="s">
        <v>104</v>
      </c>
      <c r="V118" s="8" t="s">
        <v>98</v>
      </c>
      <c r="W118" s="10"/>
      <c r="X118" s="8" t="s">
        <v>98</v>
      </c>
      <c r="Y118" s="8" t="s">
        <v>98</v>
      </c>
      <c r="Z118" s="8" t="s">
        <v>98</v>
      </c>
      <c r="AA118" s="8" t="s">
        <v>98</v>
      </c>
      <c r="AB118" s="8" t="s">
        <v>98</v>
      </c>
      <c r="AC118" s="8" t="s">
        <v>98</v>
      </c>
      <c r="AD118" s="8" t="s">
        <v>98</v>
      </c>
      <c r="AE118" s="8" t="s">
        <v>98</v>
      </c>
      <c r="AF118" s="8" t="s">
        <v>63</v>
      </c>
      <c r="AG118" s="8" t="s">
        <v>63</v>
      </c>
      <c r="AH118" s="9" t="s">
        <v>522</v>
      </c>
      <c r="AI118" s="9" t="s">
        <v>523</v>
      </c>
      <c r="AJ118" s="9" t="s">
        <v>341</v>
      </c>
      <c r="AK118" s="3" t="s">
        <v>62</v>
      </c>
      <c r="AL118" s="3" t="s">
        <v>62</v>
      </c>
      <c r="AM118" s="3" t="s">
        <v>85</v>
      </c>
      <c r="AN118" s="3" t="s">
        <v>67</v>
      </c>
      <c r="AO118" s="3" t="s">
        <v>86</v>
      </c>
      <c r="AP118" s="3" t="s">
        <v>87</v>
      </c>
      <c r="AQ118" s="3">
        <v>46213</v>
      </c>
      <c r="AR118" s="3" t="s">
        <v>88</v>
      </c>
      <c r="AS118" s="3" t="s">
        <v>95</v>
      </c>
      <c r="AT118" s="3" t="s">
        <v>100</v>
      </c>
      <c r="AU118" s="3" t="s">
        <v>73</v>
      </c>
      <c r="AV118" s="3" t="s">
        <v>95</v>
      </c>
      <c r="AW118" s="3" t="s">
        <v>101</v>
      </c>
      <c r="AX118" s="3" t="s">
        <v>75</v>
      </c>
      <c r="AY118" s="3" t="s">
        <v>76</v>
      </c>
    </row>
    <row r="119" spans="1:51" ht="140">
      <c r="A119" t="s">
        <v>524</v>
      </c>
      <c r="B119" t="s">
        <v>525</v>
      </c>
      <c r="C119" t="s">
        <v>495</v>
      </c>
      <c r="D119" t="s">
        <v>390</v>
      </c>
      <c r="E119" t="s">
        <v>94</v>
      </c>
      <c r="F119" s="4">
        <v>36.331400000000002</v>
      </c>
      <c r="G119" s="4">
        <v>27.516749999999998</v>
      </c>
      <c r="H119" s="5">
        <v>4.2</v>
      </c>
      <c r="I119" t="s">
        <v>57</v>
      </c>
      <c r="J119" t="s">
        <v>71</v>
      </c>
      <c r="K119" t="s">
        <v>95</v>
      </c>
      <c r="L119" t="s">
        <v>71</v>
      </c>
      <c r="M119" t="s">
        <v>57</v>
      </c>
      <c r="N119" t="s">
        <v>57</v>
      </c>
      <c r="O119" t="s">
        <v>56</v>
      </c>
      <c r="P119" t="s">
        <v>57</v>
      </c>
      <c r="Q119" s="5"/>
      <c r="R119" s="5"/>
      <c r="S119" t="s">
        <v>405</v>
      </c>
      <c r="T119" t="s">
        <v>114</v>
      </c>
      <c r="U119" s="8" t="s">
        <v>104</v>
      </c>
      <c r="V119" s="8" t="s">
        <v>98</v>
      </c>
      <c r="W119" s="10"/>
      <c r="X119" s="8" t="s">
        <v>98</v>
      </c>
      <c r="Y119" s="8" t="s">
        <v>98</v>
      </c>
      <c r="Z119" s="8" t="s">
        <v>98</v>
      </c>
      <c r="AA119" s="8" t="s">
        <v>98</v>
      </c>
      <c r="AB119" s="8" t="s">
        <v>98</v>
      </c>
      <c r="AC119" s="8" t="s">
        <v>98</v>
      </c>
      <c r="AD119" s="8" t="s">
        <v>98</v>
      </c>
      <c r="AE119" s="8" t="s">
        <v>98</v>
      </c>
      <c r="AF119" s="8" t="s">
        <v>123</v>
      </c>
      <c r="AG119" s="8" t="s">
        <v>123</v>
      </c>
      <c r="AH119" s="9" t="s">
        <v>526</v>
      </c>
      <c r="AI119" s="9" t="s">
        <v>527</v>
      </c>
      <c r="AJ119" s="9" t="s">
        <v>65</v>
      </c>
      <c r="AK119" s="3" t="s">
        <v>62</v>
      </c>
      <c r="AL119" s="3" t="s">
        <v>62</v>
      </c>
      <c r="AM119" s="3" t="s">
        <v>85</v>
      </c>
      <c r="AN119" s="3" t="s">
        <v>67</v>
      </c>
      <c r="AO119" s="3" t="s">
        <v>86</v>
      </c>
      <c r="AP119" s="3" t="s">
        <v>87</v>
      </c>
      <c r="AQ119" s="3">
        <v>46213</v>
      </c>
      <c r="AR119" s="3" t="s">
        <v>88</v>
      </c>
      <c r="AS119" s="3" t="s">
        <v>95</v>
      </c>
      <c r="AT119" s="3" t="s">
        <v>100</v>
      </c>
      <c r="AU119" s="3" t="s">
        <v>73</v>
      </c>
      <c r="AV119" s="3" t="s">
        <v>95</v>
      </c>
      <c r="AW119" s="3" t="s">
        <v>101</v>
      </c>
      <c r="AX119" s="3" t="s">
        <v>75</v>
      </c>
      <c r="AY119" s="3" t="s">
        <v>76</v>
      </c>
    </row>
    <row r="120" spans="1:51" ht="140">
      <c r="A120" t="s">
        <v>528</v>
      </c>
      <c r="B120" t="s">
        <v>529</v>
      </c>
      <c r="C120" t="s">
        <v>495</v>
      </c>
      <c r="D120" t="s">
        <v>390</v>
      </c>
      <c r="E120" t="s">
        <v>94</v>
      </c>
      <c r="F120" s="4">
        <v>36.361249999999998</v>
      </c>
      <c r="G120" s="4">
        <v>27.492930000000001</v>
      </c>
      <c r="H120" s="5">
        <v>3.6</v>
      </c>
      <c r="I120" t="s">
        <v>57</v>
      </c>
      <c r="J120" t="s">
        <v>71</v>
      </c>
      <c r="K120" t="s">
        <v>95</v>
      </c>
      <c r="L120" t="s">
        <v>71</v>
      </c>
      <c r="M120" t="s">
        <v>71</v>
      </c>
      <c r="N120" t="s">
        <v>57</v>
      </c>
      <c r="O120" t="s">
        <v>56</v>
      </c>
      <c r="P120" t="s">
        <v>57</v>
      </c>
      <c r="Q120" s="5"/>
      <c r="R120" s="5"/>
      <c r="S120" t="s">
        <v>96</v>
      </c>
      <c r="T120" t="s">
        <v>57</v>
      </c>
      <c r="U120" s="8" t="s">
        <v>351</v>
      </c>
      <c r="V120" s="8" t="s">
        <v>98</v>
      </c>
      <c r="W120" s="10"/>
      <c r="X120" s="8" t="s">
        <v>98</v>
      </c>
      <c r="Y120" s="8" t="s">
        <v>98</v>
      </c>
      <c r="Z120" s="8" t="s">
        <v>98</v>
      </c>
      <c r="AA120" s="8" t="s">
        <v>98</v>
      </c>
      <c r="AB120" s="8" t="s">
        <v>98</v>
      </c>
      <c r="AC120" s="8" t="s">
        <v>98</v>
      </c>
      <c r="AD120" s="8" t="s">
        <v>98</v>
      </c>
      <c r="AE120" s="8" t="s">
        <v>98</v>
      </c>
      <c r="AF120" s="8" t="s">
        <v>123</v>
      </c>
      <c r="AG120" s="8" t="s">
        <v>123</v>
      </c>
      <c r="AH120" s="9" t="s">
        <v>530</v>
      </c>
      <c r="AI120" s="9" t="s">
        <v>531</v>
      </c>
      <c r="AJ120" s="9" t="s">
        <v>65</v>
      </c>
      <c r="AK120" s="3" t="s">
        <v>62</v>
      </c>
      <c r="AL120" s="3" t="s">
        <v>62</v>
      </c>
      <c r="AM120" s="3" t="s">
        <v>85</v>
      </c>
      <c r="AN120" s="3" t="s">
        <v>67</v>
      </c>
      <c r="AO120" s="3" t="s">
        <v>86</v>
      </c>
      <c r="AP120" s="3" t="s">
        <v>87</v>
      </c>
      <c r="AQ120" s="3">
        <v>46213</v>
      </c>
      <c r="AR120" s="3" t="s">
        <v>88</v>
      </c>
      <c r="AS120" s="3" t="s">
        <v>95</v>
      </c>
      <c r="AT120" s="3" t="s">
        <v>100</v>
      </c>
      <c r="AU120" s="3" t="s">
        <v>73</v>
      </c>
      <c r="AV120" s="3" t="s">
        <v>95</v>
      </c>
      <c r="AW120" s="3" t="s">
        <v>101</v>
      </c>
      <c r="AX120" s="3" t="s">
        <v>75</v>
      </c>
      <c r="AY120" s="3" t="s">
        <v>76</v>
      </c>
    </row>
    <row r="121" spans="1:51" ht="140">
      <c r="A121" t="s">
        <v>532</v>
      </c>
      <c r="B121" t="s">
        <v>533</v>
      </c>
      <c r="C121" t="s">
        <v>495</v>
      </c>
      <c r="D121" t="s">
        <v>390</v>
      </c>
      <c r="E121" t="s">
        <v>94</v>
      </c>
      <c r="F121" s="4">
        <v>36.320489999999999</v>
      </c>
      <c r="G121" s="4">
        <v>27.487390000000001</v>
      </c>
      <c r="H121" s="5">
        <v>3.6</v>
      </c>
      <c r="I121" t="s">
        <v>57</v>
      </c>
      <c r="J121" t="s">
        <v>71</v>
      </c>
      <c r="K121" t="s">
        <v>95</v>
      </c>
      <c r="L121" t="s">
        <v>71</v>
      </c>
      <c r="M121" t="s">
        <v>57</v>
      </c>
      <c r="N121" t="s">
        <v>57</v>
      </c>
      <c r="O121" t="s">
        <v>56</v>
      </c>
      <c r="P121" t="s">
        <v>57</v>
      </c>
      <c r="Q121" s="5"/>
      <c r="R121" s="5"/>
      <c r="S121" t="s">
        <v>96</v>
      </c>
      <c r="T121" t="s">
        <v>57</v>
      </c>
      <c r="U121" s="8" t="s">
        <v>351</v>
      </c>
      <c r="V121" s="8" t="s">
        <v>98</v>
      </c>
      <c r="W121" s="10"/>
      <c r="X121" s="8" t="s">
        <v>98</v>
      </c>
      <c r="Y121" s="8" t="s">
        <v>98</v>
      </c>
      <c r="Z121" s="8" t="s">
        <v>98</v>
      </c>
      <c r="AA121" s="8" t="s">
        <v>98</v>
      </c>
      <c r="AB121" s="8" t="s">
        <v>98</v>
      </c>
      <c r="AC121" s="8" t="s">
        <v>98</v>
      </c>
      <c r="AD121" s="8" t="s">
        <v>98</v>
      </c>
      <c r="AE121" s="8" t="s">
        <v>98</v>
      </c>
      <c r="AF121" s="8" t="s">
        <v>123</v>
      </c>
      <c r="AG121" s="8" t="s">
        <v>123</v>
      </c>
      <c r="AH121" s="9" t="s">
        <v>534</v>
      </c>
      <c r="AI121" s="9" t="s">
        <v>535</v>
      </c>
      <c r="AJ121" s="9" t="s">
        <v>65</v>
      </c>
      <c r="AK121" s="3" t="s">
        <v>62</v>
      </c>
      <c r="AL121" s="3" t="s">
        <v>62</v>
      </c>
      <c r="AM121" s="3" t="s">
        <v>85</v>
      </c>
      <c r="AN121" s="3" t="s">
        <v>67</v>
      </c>
      <c r="AO121" s="3" t="s">
        <v>86</v>
      </c>
      <c r="AP121" s="3" t="s">
        <v>87</v>
      </c>
      <c r="AQ121" s="3">
        <v>46213</v>
      </c>
      <c r="AR121" s="3" t="s">
        <v>88</v>
      </c>
      <c r="AS121" s="3" t="s">
        <v>95</v>
      </c>
      <c r="AT121" s="3" t="s">
        <v>100</v>
      </c>
      <c r="AU121" s="3" t="s">
        <v>73</v>
      </c>
      <c r="AV121" s="3" t="s">
        <v>95</v>
      </c>
      <c r="AW121" s="3" t="s">
        <v>101</v>
      </c>
      <c r="AX121" s="3" t="s">
        <v>75</v>
      </c>
      <c r="AY121" s="3" t="s">
        <v>76</v>
      </c>
    </row>
    <row r="122" spans="1:51" ht="140">
      <c r="A122" t="s">
        <v>536</v>
      </c>
      <c r="B122" t="s">
        <v>537</v>
      </c>
      <c r="C122" t="s">
        <v>495</v>
      </c>
      <c r="D122" t="s">
        <v>390</v>
      </c>
      <c r="E122" t="s">
        <v>94</v>
      </c>
      <c r="F122" s="4">
        <v>36.347520000000003</v>
      </c>
      <c r="G122" s="4">
        <v>27.525659999999998</v>
      </c>
      <c r="H122" s="5">
        <v>3.6</v>
      </c>
      <c r="I122" t="s">
        <v>57</v>
      </c>
      <c r="J122" t="s">
        <v>71</v>
      </c>
      <c r="K122" t="s">
        <v>95</v>
      </c>
      <c r="L122" t="s">
        <v>71</v>
      </c>
      <c r="M122" t="s">
        <v>57</v>
      </c>
      <c r="N122" t="s">
        <v>57</v>
      </c>
      <c r="O122" t="s">
        <v>56</v>
      </c>
      <c r="P122" t="s">
        <v>57</v>
      </c>
      <c r="Q122" s="5"/>
      <c r="R122" s="5"/>
      <c r="S122" t="s">
        <v>96</v>
      </c>
      <c r="T122" t="s">
        <v>57</v>
      </c>
      <c r="U122" s="8" t="s">
        <v>351</v>
      </c>
      <c r="V122" s="8" t="s">
        <v>98</v>
      </c>
      <c r="W122" s="10"/>
      <c r="X122" s="8" t="s">
        <v>98</v>
      </c>
      <c r="Y122" s="8" t="s">
        <v>98</v>
      </c>
      <c r="Z122" s="8" t="s">
        <v>98</v>
      </c>
      <c r="AA122" s="8" t="s">
        <v>98</v>
      </c>
      <c r="AB122" s="8" t="s">
        <v>98</v>
      </c>
      <c r="AC122" s="8" t="s">
        <v>98</v>
      </c>
      <c r="AD122" s="8" t="s">
        <v>98</v>
      </c>
      <c r="AE122" s="8" t="s">
        <v>98</v>
      </c>
      <c r="AF122" s="8" t="s">
        <v>123</v>
      </c>
      <c r="AG122" s="8" t="s">
        <v>83</v>
      </c>
      <c r="AH122" s="9" t="s">
        <v>538</v>
      </c>
      <c r="AI122" s="9" t="s">
        <v>539</v>
      </c>
      <c r="AJ122" s="9" t="s">
        <v>341</v>
      </c>
      <c r="AK122" s="3" t="s">
        <v>62</v>
      </c>
      <c r="AL122" s="3" t="s">
        <v>62</v>
      </c>
      <c r="AM122" s="3" t="s">
        <v>85</v>
      </c>
      <c r="AN122" s="3" t="s">
        <v>67</v>
      </c>
      <c r="AO122" s="3" t="s">
        <v>86</v>
      </c>
      <c r="AP122" s="3" t="s">
        <v>87</v>
      </c>
      <c r="AQ122" s="3">
        <v>46213</v>
      </c>
      <c r="AR122" s="3" t="s">
        <v>88</v>
      </c>
      <c r="AS122" s="3" t="s">
        <v>95</v>
      </c>
      <c r="AT122" s="3" t="s">
        <v>100</v>
      </c>
      <c r="AU122" s="3" t="s">
        <v>73</v>
      </c>
      <c r="AV122" s="3" t="s">
        <v>95</v>
      </c>
      <c r="AW122" s="3" t="s">
        <v>101</v>
      </c>
      <c r="AX122" s="3" t="s">
        <v>75</v>
      </c>
      <c r="AY122" s="3" t="s">
        <v>76</v>
      </c>
    </row>
    <row r="123" spans="1:51" ht="140">
      <c r="A123" t="s">
        <v>540</v>
      </c>
      <c r="B123" t="s">
        <v>541</v>
      </c>
      <c r="C123" t="s">
        <v>495</v>
      </c>
      <c r="D123" t="s">
        <v>390</v>
      </c>
      <c r="E123" t="s">
        <v>94</v>
      </c>
      <c r="F123" s="4">
        <v>36.350720000000003</v>
      </c>
      <c r="G123" s="4">
        <v>27.467890000000001</v>
      </c>
      <c r="H123" s="5">
        <v>3.8</v>
      </c>
      <c r="I123" t="s">
        <v>57</v>
      </c>
      <c r="J123" t="s">
        <v>71</v>
      </c>
      <c r="K123" t="s">
        <v>95</v>
      </c>
      <c r="L123" t="s">
        <v>71</v>
      </c>
      <c r="M123" t="s">
        <v>57</v>
      </c>
      <c r="N123" t="s">
        <v>57</v>
      </c>
      <c r="O123" t="s">
        <v>56</v>
      </c>
      <c r="P123" t="s">
        <v>57</v>
      </c>
      <c r="Q123" s="5"/>
      <c r="R123" s="5"/>
      <c r="S123" t="s">
        <v>96</v>
      </c>
      <c r="T123" t="s">
        <v>57</v>
      </c>
      <c r="U123" s="8" t="s">
        <v>351</v>
      </c>
      <c r="V123" s="8" t="s">
        <v>98</v>
      </c>
      <c r="W123" s="10"/>
      <c r="X123" s="8" t="s">
        <v>98</v>
      </c>
      <c r="Y123" s="8" t="s">
        <v>98</v>
      </c>
      <c r="Z123" s="8" t="s">
        <v>98</v>
      </c>
      <c r="AA123" s="8" t="s">
        <v>98</v>
      </c>
      <c r="AB123" s="8" t="s">
        <v>98</v>
      </c>
      <c r="AC123" s="8" t="s">
        <v>98</v>
      </c>
      <c r="AD123" s="8" t="s">
        <v>98</v>
      </c>
      <c r="AE123" s="8" t="s">
        <v>98</v>
      </c>
      <c r="AF123" s="8" t="s">
        <v>63</v>
      </c>
      <c r="AG123" s="8" t="s">
        <v>63</v>
      </c>
      <c r="AH123" s="9" t="s">
        <v>542</v>
      </c>
      <c r="AI123" s="9" t="s">
        <v>543</v>
      </c>
      <c r="AJ123" s="9" t="s">
        <v>341</v>
      </c>
      <c r="AK123" s="3" t="s">
        <v>62</v>
      </c>
      <c r="AL123" s="3" t="s">
        <v>62</v>
      </c>
      <c r="AM123" s="3" t="s">
        <v>85</v>
      </c>
      <c r="AN123" s="3" t="s">
        <v>67</v>
      </c>
      <c r="AO123" s="3" t="s">
        <v>86</v>
      </c>
      <c r="AP123" s="3" t="s">
        <v>87</v>
      </c>
      <c r="AQ123" s="3">
        <v>46213</v>
      </c>
      <c r="AR123" s="3" t="s">
        <v>88</v>
      </c>
      <c r="AS123" s="3" t="s">
        <v>95</v>
      </c>
      <c r="AT123" s="3" t="s">
        <v>100</v>
      </c>
      <c r="AU123" s="3" t="s">
        <v>73</v>
      </c>
      <c r="AV123" s="3" t="s">
        <v>95</v>
      </c>
      <c r="AW123" s="3" t="s">
        <v>101</v>
      </c>
      <c r="AX123" s="3" t="s">
        <v>75</v>
      </c>
      <c r="AY123" s="3" t="s">
        <v>76</v>
      </c>
    </row>
    <row r="124" spans="1:51" ht="224">
      <c r="A124" t="s">
        <v>544</v>
      </c>
      <c r="B124" t="s">
        <v>545</v>
      </c>
      <c r="C124" t="s">
        <v>546</v>
      </c>
      <c r="D124" t="s">
        <v>390</v>
      </c>
      <c r="E124" t="s">
        <v>79</v>
      </c>
      <c r="F124" s="4">
        <v>36.621000000000002</v>
      </c>
      <c r="G124" s="4">
        <v>27.167000000000002</v>
      </c>
      <c r="H124" s="5">
        <v>3.5</v>
      </c>
      <c r="I124" t="s">
        <v>95</v>
      </c>
      <c r="J124" t="s">
        <v>71</v>
      </c>
      <c r="K124" t="s">
        <v>57</v>
      </c>
      <c r="L124" t="s">
        <v>57</v>
      </c>
      <c r="M124" t="s">
        <v>56</v>
      </c>
      <c r="N124" t="s">
        <v>57</v>
      </c>
      <c r="O124" t="s">
        <v>57</v>
      </c>
      <c r="P124" t="s">
        <v>71</v>
      </c>
      <c r="Q124" s="5"/>
      <c r="R124" s="5"/>
      <c r="S124" t="s">
        <v>405</v>
      </c>
      <c r="T124" t="s">
        <v>114</v>
      </c>
      <c r="U124" s="8" t="s">
        <v>338</v>
      </c>
      <c r="V124" s="8" t="s">
        <v>83</v>
      </c>
      <c r="W124" s="10"/>
      <c r="X124" s="8" t="s">
        <v>63</v>
      </c>
      <c r="Y124" s="8" t="s">
        <v>63</v>
      </c>
      <c r="Z124" s="8" t="s">
        <v>63</v>
      </c>
      <c r="AA124" s="8" t="s">
        <v>63</v>
      </c>
      <c r="AB124" s="8" t="s">
        <v>83</v>
      </c>
      <c r="AC124" s="8" t="s">
        <v>63</v>
      </c>
      <c r="AD124" s="8" t="s">
        <v>83</v>
      </c>
      <c r="AE124" s="8" t="s">
        <v>83</v>
      </c>
      <c r="AF124" s="8" t="s">
        <v>63</v>
      </c>
      <c r="AG124" s="8" t="s">
        <v>63</v>
      </c>
      <c r="AH124" s="9" t="s">
        <v>547</v>
      </c>
      <c r="AI124" s="9" t="s">
        <v>548</v>
      </c>
      <c r="AJ124" s="9" t="s">
        <v>341</v>
      </c>
      <c r="AK124" s="3" t="s">
        <v>62</v>
      </c>
      <c r="AL124" s="3" t="s">
        <v>62</v>
      </c>
      <c r="AM124" s="3" t="s">
        <v>66</v>
      </c>
      <c r="AN124" s="3" t="s">
        <v>67</v>
      </c>
      <c r="AO124" s="3" t="s">
        <v>68</v>
      </c>
      <c r="AP124" s="3" t="s">
        <v>549</v>
      </c>
      <c r="AQ124" s="3">
        <v>46213</v>
      </c>
      <c r="AR124" s="3" t="s">
        <v>70</v>
      </c>
      <c r="AS124" s="3" t="s">
        <v>95</v>
      </c>
      <c r="AT124" s="3" t="s">
        <v>100</v>
      </c>
      <c r="AU124" s="3" t="s">
        <v>73</v>
      </c>
      <c r="AV124" s="3" t="s">
        <v>95</v>
      </c>
      <c r="AW124" s="3" t="s">
        <v>101</v>
      </c>
      <c r="AX124" s="3" t="s">
        <v>75</v>
      </c>
      <c r="AY124" s="3" t="s">
        <v>76</v>
      </c>
    </row>
    <row r="125" spans="1:51" ht="140">
      <c r="A125" t="s">
        <v>550</v>
      </c>
      <c r="B125" t="s">
        <v>551</v>
      </c>
      <c r="C125" t="s">
        <v>546</v>
      </c>
      <c r="D125" t="s">
        <v>390</v>
      </c>
      <c r="E125" t="s">
        <v>79</v>
      </c>
      <c r="F125" s="4">
        <v>36.78</v>
      </c>
      <c r="G125" s="4">
        <v>27.162489999999998</v>
      </c>
      <c r="H125" s="5">
        <v>3.6</v>
      </c>
      <c r="I125" t="s">
        <v>71</v>
      </c>
      <c r="J125" t="s">
        <v>71</v>
      </c>
      <c r="K125" t="s">
        <v>57</v>
      </c>
      <c r="L125" t="s">
        <v>57</v>
      </c>
      <c r="M125" t="s">
        <v>57</v>
      </c>
      <c r="N125" t="s">
        <v>57</v>
      </c>
      <c r="O125" t="s">
        <v>57</v>
      </c>
      <c r="P125" t="s">
        <v>71</v>
      </c>
      <c r="Q125" s="5"/>
      <c r="R125" s="5"/>
      <c r="S125" t="s">
        <v>58</v>
      </c>
      <c r="T125" t="s">
        <v>81</v>
      </c>
      <c r="U125" s="8" t="s">
        <v>338</v>
      </c>
      <c r="V125" s="8" t="s">
        <v>552</v>
      </c>
      <c r="W125" s="10"/>
      <c r="X125" s="8" t="s">
        <v>63</v>
      </c>
      <c r="Y125" s="8" t="s">
        <v>63</v>
      </c>
      <c r="Z125" s="8" t="s">
        <v>63</v>
      </c>
      <c r="AA125" s="8" t="s">
        <v>63</v>
      </c>
      <c r="AB125" s="8" t="s">
        <v>83</v>
      </c>
      <c r="AC125" s="8" t="s">
        <v>63</v>
      </c>
      <c r="AD125" s="8" t="s">
        <v>83</v>
      </c>
      <c r="AE125" s="8" t="s">
        <v>83</v>
      </c>
      <c r="AF125" s="8" t="s">
        <v>63</v>
      </c>
      <c r="AG125" s="8" t="s">
        <v>63</v>
      </c>
      <c r="AH125" s="9" t="s">
        <v>553</v>
      </c>
      <c r="AI125" s="9" t="s">
        <v>554</v>
      </c>
      <c r="AJ125" s="9" t="s">
        <v>341</v>
      </c>
      <c r="AK125" s="3" t="s">
        <v>62</v>
      </c>
      <c r="AL125" s="3" t="s">
        <v>62</v>
      </c>
      <c r="AM125" s="3" t="s">
        <v>85</v>
      </c>
      <c r="AN125" s="3" t="s">
        <v>67</v>
      </c>
      <c r="AO125" s="3" t="s">
        <v>86</v>
      </c>
      <c r="AP125" s="3" t="s">
        <v>555</v>
      </c>
      <c r="AQ125" s="3">
        <v>46213</v>
      </c>
      <c r="AR125" s="3" t="s">
        <v>88</v>
      </c>
      <c r="AS125" s="3" t="s">
        <v>89</v>
      </c>
      <c r="AT125" s="3" t="s">
        <v>90</v>
      </c>
      <c r="AU125" s="3" t="s">
        <v>73</v>
      </c>
      <c r="AV125" s="3" t="s">
        <v>89</v>
      </c>
      <c r="AW125" s="3" t="s">
        <v>91</v>
      </c>
      <c r="AX125" s="3" t="s">
        <v>75</v>
      </c>
      <c r="AY125" s="3" t="s">
        <v>76</v>
      </c>
    </row>
    <row r="126" spans="1:51" ht="140">
      <c r="A126" t="s">
        <v>556</v>
      </c>
      <c r="B126" t="s">
        <v>557</v>
      </c>
      <c r="C126" t="s">
        <v>546</v>
      </c>
      <c r="D126" t="s">
        <v>390</v>
      </c>
      <c r="E126" t="s">
        <v>94</v>
      </c>
      <c r="F126" s="4">
        <v>36.786760000000001</v>
      </c>
      <c r="G126" s="4">
        <v>27.140789999999999</v>
      </c>
      <c r="H126" s="5">
        <v>4</v>
      </c>
      <c r="I126" t="s">
        <v>95</v>
      </c>
      <c r="J126" t="s">
        <v>71</v>
      </c>
      <c r="K126" t="s">
        <v>71</v>
      </c>
      <c r="L126" t="s">
        <v>57</v>
      </c>
      <c r="M126" t="s">
        <v>56</v>
      </c>
      <c r="N126" t="s">
        <v>57</v>
      </c>
      <c r="O126" t="s">
        <v>57</v>
      </c>
      <c r="P126" t="s">
        <v>71</v>
      </c>
      <c r="Q126" s="5"/>
      <c r="R126" s="5"/>
      <c r="S126" t="s">
        <v>405</v>
      </c>
      <c r="T126" t="s">
        <v>114</v>
      </c>
      <c r="U126" s="8" t="s">
        <v>104</v>
      </c>
      <c r="V126" s="8" t="s">
        <v>98</v>
      </c>
      <c r="W126" s="10"/>
      <c r="X126" s="8" t="s">
        <v>98</v>
      </c>
      <c r="Y126" s="8" t="s">
        <v>98</v>
      </c>
      <c r="Z126" s="8" t="s">
        <v>98</v>
      </c>
      <c r="AA126" s="8" t="s">
        <v>98</v>
      </c>
      <c r="AB126" s="8" t="s">
        <v>98</v>
      </c>
      <c r="AC126" s="8" t="s">
        <v>98</v>
      </c>
      <c r="AD126" s="8" t="s">
        <v>98</v>
      </c>
      <c r="AE126" s="8" t="s">
        <v>98</v>
      </c>
      <c r="AF126" s="8" t="s">
        <v>123</v>
      </c>
      <c r="AG126" s="8" t="s">
        <v>83</v>
      </c>
      <c r="AH126" s="9" t="s">
        <v>558</v>
      </c>
      <c r="AI126" s="9" t="s">
        <v>559</v>
      </c>
      <c r="AJ126" s="9" t="s">
        <v>341</v>
      </c>
      <c r="AK126" s="3" t="s">
        <v>62</v>
      </c>
      <c r="AL126" s="3" t="s">
        <v>62</v>
      </c>
      <c r="AM126" s="3" t="s">
        <v>85</v>
      </c>
      <c r="AN126" s="3" t="s">
        <v>67</v>
      </c>
      <c r="AO126" s="3" t="s">
        <v>86</v>
      </c>
      <c r="AP126" s="3" t="s">
        <v>87</v>
      </c>
      <c r="AQ126" s="3">
        <v>46213</v>
      </c>
      <c r="AR126" s="3" t="s">
        <v>88</v>
      </c>
      <c r="AS126" s="3" t="s">
        <v>95</v>
      </c>
      <c r="AT126" s="3" t="s">
        <v>100</v>
      </c>
      <c r="AU126" s="3" t="s">
        <v>73</v>
      </c>
      <c r="AV126" s="3" t="s">
        <v>95</v>
      </c>
      <c r="AW126" s="3" t="s">
        <v>101</v>
      </c>
      <c r="AX126" s="3" t="s">
        <v>75</v>
      </c>
      <c r="AY126" s="3" t="s">
        <v>76</v>
      </c>
    </row>
    <row r="127" spans="1:51" ht="140">
      <c r="A127" t="s">
        <v>560</v>
      </c>
      <c r="B127" t="s">
        <v>561</v>
      </c>
      <c r="C127" t="s">
        <v>546</v>
      </c>
      <c r="D127" t="s">
        <v>390</v>
      </c>
      <c r="E127" t="s">
        <v>94</v>
      </c>
      <c r="F127" s="4">
        <v>36.770040000000002</v>
      </c>
      <c r="G127" s="4">
        <v>27.15109</v>
      </c>
      <c r="H127" s="5">
        <v>4</v>
      </c>
      <c r="I127" t="s">
        <v>95</v>
      </c>
      <c r="J127" t="s">
        <v>71</v>
      </c>
      <c r="K127" t="s">
        <v>57</v>
      </c>
      <c r="L127" t="s">
        <v>57</v>
      </c>
      <c r="M127" t="s">
        <v>56</v>
      </c>
      <c r="N127" t="s">
        <v>57</v>
      </c>
      <c r="O127" t="s">
        <v>57</v>
      </c>
      <c r="P127" t="s">
        <v>71</v>
      </c>
      <c r="Q127" s="5"/>
      <c r="R127" s="5"/>
      <c r="S127" t="s">
        <v>96</v>
      </c>
      <c r="T127" t="s">
        <v>57</v>
      </c>
      <c r="U127" t="s">
        <v>122</v>
      </c>
      <c r="V127" t="s">
        <v>98</v>
      </c>
      <c r="W127" s="10"/>
      <c r="X127" t="s">
        <v>98</v>
      </c>
      <c r="Y127" t="s">
        <v>98</v>
      </c>
      <c r="Z127" t="s">
        <v>98</v>
      </c>
      <c r="AA127" t="s">
        <v>98</v>
      </c>
      <c r="AB127" t="s">
        <v>98</v>
      </c>
      <c r="AC127" t="s">
        <v>98</v>
      </c>
      <c r="AD127" t="s">
        <v>98</v>
      </c>
      <c r="AE127" t="s">
        <v>98</v>
      </c>
      <c r="AF127" t="s">
        <v>123</v>
      </c>
      <c r="AG127" t="s">
        <v>123</v>
      </c>
      <c r="AH127" s="3" t="s">
        <v>562</v>
      </c>
      <c r="AI127" s="3" t="s">
        <v>563</v>
      </c>
      <c r="AJ127" s="3" t="s">
        <v>65</v>
      </c>
      <c r="AK127" s="3" t="s">
        <v>62</v>
      </c>
      <c r="AL127" s="3" t="s">
        <v>62</v>
      </c>
      <c r="AM127" s="3" t="s">
        <v>85</v>
      </c>
      <c r="AN127" s="3" t="s">
        <v>67</v>
      </c>
      <c r="AO127" s="3" t="s">
        <v>86</v>
      </c>
      <c r="AP127" s="3" t="s">
        <v>87</v>
      </c>
      <c r="AQ127" s="3">
        <v>46213</v>
      </c>
      <c r="AR127" s="3" t="s">
        <v>88</v>
      </c>
      <c r="AS127" s="3" t="s">
        <v>95</v>
      </c>
      <c r="AT127" s="3" t="s">
        <v>100</v>
      </c>
      <c r="AU127" s="3" t="s">
        <v>73</v>
      </c>
      <c r="AV127" s="3" t="s">
        <v>95</v>
      </c>
      <c r="AW127" s="3" t="s">
        <v>101</v>
      </c>
      <c r="AX127" s="3" t="s">
        <v>75</v>
      </c>
      <c r="AY127" s="3" t="s">
        <v>76</v>
      </c>
    </row>
    <row r="128" spans="1:51" ht="140">
      <c r="A128" t="s">
        <v>564</v>
      </c>
      <c r="B128" t="s">
        <v>565</v>
      </c>
      <c r="C128" t="s">
        <v>546</v>
      </c>
      <c r="D128" t="s">
        <v>390</v>
      </c>
      <c r="E128" t="s">
        <v>94</v>
      </c>
      <c r="F128" s="4">
        <v>36.79269</v>
      </c>
      <c r="G128" s="4">
        <v>27.16216</v>
      </c>
      <c r="H128" s="5">
        <v>4</v>
      </c>
      <c r="I128" t="s">
        <v>95</v>
      </c>
      <c r="J128" t="s">
        <v>71</v>
      </c>
      <c r="K128" t="s">
        <v>71</v>
      </c>
      <c r="L128" t="s">
        <v>57</v>
      </c>
      <c r="M128" t="s">
        <v>56</v>
      </c>
      <c r="N128" t="s">
        <v>57</v>
      </c>
      <c r="O128" t="s">
        <v>57</v>
      </c>
      <c r="P128" t="s">
        <v>71</v>
      </c>
      <c r="Q128" s="5"/>
      <c r="R128" s="5"/>
      <c r="S128" t="s">
        <v>180</v>
      </c>
      <c r="T128" t="s">
        <v>57</v>
      </c>
      <c r="U128" t="s">
        <v>97</v>
      </c>
      <c r="V128" t="s">
        <v>98</v>
      </c>
      <c r="W128" s="10"/>
      <c r="X128" t="s">
        <v>98</v>
      </c>
      <c r="Y128" t="s">
        <v>98</v>
      </c>
      <c r="Z128" t="s">
        <v>98</v>
      </c>
      <c r="AA128" t="s">
        <v>98</v>
      </c>
      <c r="AB128" t="s">
        <v>98</v>
      </c>
      <c r="AC128" t="s">
        <v>98</v>
      </c>
      <c r="AD128" t="s">
        <v>98</v>
      </c>
      <c r="AE128" t="s">
        <v>98</v>
      </c>
      <c r="AF128" t="s">
        <v>63</v>
      </c>
      <c r="AG128" t="s">
        <v>63</v>
      </c>
      <c r="AH128" s="3" t="s">
        <v>566</v>
      </c>
      <c r="AI128" s="3" t="s">
        <v>567</v>
      </c>
      <c r="AJ128" s="3" t="s">
        <v>65</v>
      </c>
      <c r="AK128" s="3" t="s">
        <v>62</v>
      </c>
      <c r="AL128" s="3" t="s">
        <v>62</v>
      </c>
      <c r="AM128" s="3" t="s">
        <v>85</v>
      </c>
      <c r="AN128" s="3" t="s">
        <v>67</v>
      </c>
      <c r="AO128" s="3" t="s">
        <v>86</v>
      </c>
      <c r="AP128" s="3" t="s">
        <v>87</v>
      </c>
      <c r="AQ128" s="3">
        <v>46213</v>
      </c>
      <c r="AR128" s="3" t="s">
        <v>88</v>
      </c>
      <c r="AS128" s="3" t="s">
        <v>95</v>
      </c>
      <c r="AT128" s="3" t="s">
        <v>100</v>
      </c>
      <c r="AU128" s="3" t="s">
        <v>73</v>
      </c>
      <c r="AV128" s="3" t="s">
        <v>95</v>
      </c>
      <c r="AW128" s="3" t="s">
        <v>101</v>
      </c>
      <c r="AX128" s="3" t="s">
        <v>75</v>
      </c>
      <c r="AY128" s="3" t="s">
        <v>76</v>
      </c>
    </row>
    <row r="129" spans="1:51" ht="140">
      <c r="A129" t="s">
        <v>568</v>
      </c>
      <c r="B129" t="s">
        <v>569</v>
      </c>
      <c r="C129" t="s">
        <v>546</v>
      </c>
      <c r="D129" t="s">
        <v>390</v>
      </c>
      <c r="E129" t="s">
        <v>55</v>
      </c>
      <c r="F129" s="4">
        <v>36.892000000000003</v>
      </c>
      <c r="G129" s="4">
        <v>27.303000000000001</v>
      </c>
      <c r="H129" s="5">
        <v>4</v>
      </c>
      <c r="I129" t="s">
        <v>57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s="5"/>
      <c r="R129" s="5"/>
      <c r="S129" t="s">
        <v>140</v>
      </c>
      <c r="T129" t="s">
        <v>59</v>
      </c>
      <c r="U129" t="s">
        <v>60</v>
      </c>
      <c r="V129" t="s">
        <v>570</v>
      </c>
      <c r="W129" s="10"/>
      <c r="X129" t="s">
        <v>62</v>
      </c>
      <c r="Y129" t="s">
        <v>62</v>
      </c>
      <c r="Z129" t="s">
        <v>62</v>
      </c>
      <c r="AA129" t="s">
        <v>62</v>
      </c>
      <c r="AB129" t="s">
        <v>62</v>
      </c>
      <c r="AC129" t="s">
        <v>62</v>
      </c>
      <c r="AD129" t="s">
        <v>62</v>
      </c>
      <c r="AE129" t="s">
        <v>62</v>
      </c>
      <c r="AF129" t="s">
        <v>63</v>
      </c>
      <c r="AG129" t="s">
        <v>63</v>
      </c>
      <c r="AH129" s="3" t="s">
        <v>571</v>
      </c>
      <c r="AI129" s="3" t="s">
        <v>572</v>
      </c>
      <c r="AJ129" s="3" t="s">
        <v>341</v>
      </c>
      <c r="AK129" s="3" t="s">
        <v>62</v>
      </c>
      <c r="AL129" s="3" t="s">
        <v>62</v>
      </c>
      <c r="AM129" s="3" t="s">
        <v>66</v>
      </c>
      <c r="AN129" s="3" t="s">
        <v>67</v>
      </c>
      <c r="AO129" s="3" t="s">
        <v>68</v>
      </c>
      <c r="AP129" s="3" t="s">
        <v>69</v>
      </c>
      <c r="AQ129" s="3">
        <v>46213</v>
      </c>
      <c r="AR129" s="3" t="s">
        <v>70</v>
      </c>
      <c r="AS129" s="3" t="s">
        <v>71</v>
      </c>
      <c r="AT129" s="3" t="s">
        <v>72</v>
      </c>
      <c r="AU129" s="3" t="s">
        <v>73</v>
      </c>
      <c r="AV129" s="3" t="s">
        <v>71</v>
      </c>
      <c r="AW129" s="3" t="s">
        <v>74</v>
      </c>
      <c r="AX129" s="3" t="s">
        <v>75</v>
      </c>
      <c r="AY129" s="3" t="s">
        <v>76</v>
      </c>
    </row>
    <row r="130" spans="1:51" ht="140">
      <c r="A130" t="s">
        <v>573</v>
      </c>
      <c r="B130" t="s">
        <v>574</v>
      </c>
      <c r="C130" t="s">
        <v>546</v>
      </c>
      <c r="D130" t="s">
        <v>390</v>
      </c>
      <c r="E130" t="s">
        <v>79</v>
      </c>
      <c r="F130" s="4">
        <v>36.77722</v>
      </c>
      <c r="G130" s="4">
        <v>27.130330000000001</v>
      </c>
      <c r="H130" s="5">
        <v>3.7</v>
      </c>
      <c r="I130" t="s">
        <v>71</v>
      </c>
      <c r="J130" t="s">
        <v>71</v>
      </c>
      <c r="K130" t="s">
        <v>57</v>
      </c>
      <c r="L130" t="s">
        <v>57</v>
      </c>
      <c r="M130" t="s">
        <v>57</v>
      </c>
      <c r="N130" t="s">
        <v>57</v>
      </c>
      <c r="O130" t="s">
        <v>57</v>
      </c>
      <c r="P130" t="s">
        <v>71</v>
      </c>
      <c r="Q130" s="5"/>
      <c r="R130" s="5"/>
      <c r="S130" t="s">
        <v>108</v>
      </c>
      <c r="T130" t="s">
        <v>81</v>
      </c>
      <c r="U130" t="s">
        <v>109</v>
      </c>
      <c r="V130" t="s">
        <v>83</v>
      </c>
      <c r="W130" s="10"/>
      <c r="X130" t="s">
        <v>62</v>
      </c>
      <c r="Y130" t="s">
        <v>62</v>
      </c>
      <c r="Z130" t="s">
        <v>62</v>
      </c>
      <c r="AA130" t="s">
        <v>62</v>
      </c>
      <c r="AB130" t="s">
        <v>62</v>
      </c>
      <c r="AC130" t="s">
        <v>62</v>
      </c>
      <c r="AD130" t="s">
        <v>62</v>
      </c>
      <c r="AE130" t="s">
        <v>62</v>
      </c>
      <c r="AF130" t="s">
        <v>63</v>
      </c>
      <c r="AG130" t="s">
        <v>63</v>
      </c>
      <c r="AH130" s="3" t="s">
        <v>575</v>
      </c>
      <c r="AI130" s="3" t="s">
        <v>576</v>
      </c>
      <c r="AJ130" s="3" t="s">
        <v>341</v>
      </c>
      <c r="AK130" s="3" t="s">
        <v>62</v>
      </c>
      <c r="AL130" s="3" t="s">
        <v>62</v>
      </c>
      <c r="AM130" s="3" t="s">
        <v>85</v>
      </c>
      <c r="AN130" s="3" t="s">
        <v>67</v>
      </c>
      <c r="AO130" s="3" t="s">
        <v>86</v>
      </c>
      <c r="AP130" s="3" t="s">
        <v>87</v>
      </c>
      <c r="AQ130" s="3">
        <v>46213</v>
      </c>
      <c r="AR130" s="3" t="s">
        <v>88</v>
      </c>
      <c r="AS130" s="3" t="s">
        <v>89</v>
      </c>
      <c r="AT130" s="3" t="s">
        <v>90</v>
      </c>
      <c r="AU130" s="3" t="s">
        <v>73</v>
      </c>
      <c r="AV130" s="3" t="s">
        <v>89</v>
      </c>
      <c r="AW130" s="3" t="s">
        <v>91</v>
      </c>
      <c r="AX130" s="3" t="s">
        <v>75</v>
      </c>
      <c r="AY130" s="3" t="s">
        <v>76</v>
      </c>
    </row>
    <row r="131" spans="1:51" ht="140">
      <c r="A131" t="s">
        <v>577</v>
      </c>
      <c r="B131" t="s">
        <v>578</v>
      </c>
      <c r="C131" t="s">
        <v>546</v>
      </c>
      <c r="D131" t="s">
        <v>390</v>
      </c>
      <c r="E131" t="s">
        <v>94</v>
      </c>
      <c r="F131" s="4">
        <v>36.7714</v>
      </c>
      <c r="G131" s="4">
        <v>27.16685</v>
      </c>
      <c r="H131" s="5">
        <v>3.8</v>
      </c>
      <c r="I131" t="s">
        <v>95</v>
      </c>
      <c r="J131" t="s">
        <v>71</v>
      </c>
      <c r="K131" t="s">
        <v>57</v>
      </c>
      <c r="L131" t="s">
        <v>57</v>
      </c>
      <c r="M131" t="s">
        <v>56</v>
      </c>
      <c r="N131" t="s">
        <v>57</v>
      </c>
      <c r="O131" t="s">
        <v>57</v>
      </c>
      <c r="P131" t="s">
        <v>71</v>
      </c>
      <c r="Q131" s="5"/>
      <c r="R131" s="5"/>
      <c r="S131" t="s">
        <v>113</v>
      </c>
      <c r="T131" t="s">
        <v>114</v>
      </c>
      <c r="U131" t="s">
        <v>115</v>
      </c>
      <c r="V131" t="s">
        <v>98</v>
      </c>
      <c r="W131" s="10"/>
      <c r="X131" t="s">
        <v>98</v>
      </c>
      <c r="Y131" t="s">
        <v>98</v>
      </c>
      <c r="Z131" t="s">
        <v>98</v>
      </c>
      <c r="AA131" t="s">
        <v>98</v>
      </c>
      <c r="AB131" t="s">
        <v>98</v>
      </c>
      <c r="AC131" t="s">
        <v>98</v>
      </c>
      <c r="AD131" t="s">
        <v>98</v>
      </c>
      <c r="AE131" t="s">
        <v>98</v>
      </c>
      <c r="AF131" t="s">
        <v>63</v>
      </c>
      <c r="AG131" t="s">
        <v>63</v>
      </c>
      <c r="AH131" s="3" t="s">
        <v>579</v>
      </c>
      <c r="AI131" s="3" t="s">
        <v>580</v>
      </c>
      <c r="AJ131" s="3" t="s">
        <v>65</v>
      </c>
      <c r="AK131" s="3" t="s">
        <v>62</v>
      </c>
      <c r="AL131" s="3" t="s">
        <v>62</v>
      </c>
      <c r="AM131" s="3" t="s">
        <v>85</v>
      </c>
      <c r="AN131" s="3" t="s">
        <v>67</v>
      </c>
      <c r="AO131" s="3" t="s">
        <v>86</v>
      </c>
      <c r="AP131" s="3" t="s">
        <v>87</v>
      </c>
      <c r="AQ131" s="3">
        <v>46213</v>
      </c>
      <c r="AR131" s="3" t="s">
        <v>88</v>
      </c>
      <c r="AS131" s="3" t="s">
        <v>95</v>
      </c>
      <c r="AT131" s="3" t="s">
        <v>100</v>
      </c>
      <c r="AU131" s="3" t="s">
        <v>73</v>
      </c>
      <c r="AV131" s="3" t="s">
        <v>95</v>
      </c>
      <c r="AW131" s="3" t="s">
        <v>101</v>
      </c>
      <c r="AX131" s="3" t="s">
        <v>75</v>
      </c>
      <c r="AY131" s="3" t="s">
        <v>76</v>
      </c>
    </row>
    <row r="132" spans="1:51" ht="140">
      <c r="A132" t="s">
        <v>581</v>
      </c>
      <c r="B132" t="s">
        <v>582</v>
      </c>
      <c r="C132" t="s">
        <v>546</v>
      </c>
      <c r="D132" t="s">
        <v>390</v>
      </c>
      <c r="E132" t="s">
        <v>94</v>
      </c>
      <c r="F132" s="4">
        <v>36.801250000000003</v>
      </c>
      <c r="G132" s="4">
        <v>27.142890000000001</v>
      </c>
      <c r="H132" s="5">
        <v>3.5</v>
      </c>
      <c r="I132" t="s">
        <v>95</v>
      </c>
      <c r="J132" t="s">
        <v>71</v>
      </c>
      <c r="K132" t="s">
        <v>57</v>
      </c>
      <c r="L132" t="s">
        <v>57</v>
      </c>
      <c r="M132" t="s">
        <v>56</v>
      </c>
      <c r="N132" t="s">
        <v>57</v>
      </c>
      <c r="O132" t="s">
        <v>57</v>
      </c>
      <c r="P132" t="s">
        <v>71</v>
      </c>
      <c r="Q132" s="5"/>
      <c r="R132" s="5"/>
      <c r="S132" t="s">
        <v>180</v>
      </c>
      <c r="T132" t="s">
        <v>57</v>
      </c>
      <c r="U132" t="s">
        <v>97</v>
      </c>
      <c r="V132" t="s">
        <v>98</v>
      </c>
      <c r="W132" s="10"/>
      <c r="X132" t="s">
        <v>98</v>
      </c>
      <c r="Y132" t="s">
        <v>98</v>
      </c>
      <c r="Z132" t="s">
        <v>98</v>
      </c>
      <c r="AA132" t="s">
        <v>98</v>
      </c>
      <c r="AB132" t="s">
        <v>98</v>
      </c>
      <c r="AC132" t="s">
        <v>98</v>
      </c>
      <c r="AD132" t="s">
        <v>98</v>
      </c>
      <c r="AE132" t="s">
        <v>98</v>
      </c>
      <c r="AF132" t="s">
        <v>63</v>
      </c>
      <c r="AG132" t="s">
        <v>63</v>
      </c>
      <c r="AH132" s="3" t="s">
        <v>583</v>
      </c>
      <c r="AI132" s="3" t="s">
        <v>584</v>
      </c>
      <c r="AJ132" s="3" t="s">
        <v>65</v>
      </c>
      <c r="AK132" s="3" t="s">
        <v>62</v>
      </c>
      <c r="AL132" s="3" t="s">
        <v>62</v>
      </c>
      <c r="AM132" s="3" t="s">
        <v>85</v>
      </c>
      <c r="AN132" s="3" t="s">
        <v>67</v>
      </c>
      <c r="AO132" s="3" t="s">
        <v>86</v>
      </c>
      <c r="AP132" s="3" t="s">
        <v>87</v>
      </c>
      <c r="AQ132" s="3">
        <v>46213</v>
      </c>
      <c r="AR132" s="3" t="s">
        <v>88</v>
      </c>
      <c r="AS132" s="3" t="s">
        <v>95</v>
      </c>
      <c r="AT132" s="3" t="s">
        <v>100</v>
      </c>
      <c r="AU132" s="3" t="s">
        <v>73</v>
      </c>
      <c r="AV132" s="3" t="s">
        <v>95</v>
      </c>
      <c r="AW132" s="3" t="s">
        <v>101</v>
      </c>
      <c r="AX132" s="3" t="s">
        <v>75</v>
      </c>
      <c r="AY132" s="3" t="s">
        <v>76</v>
      </c>
    </row>
    <row r="133" spans="1:51" ht="140">
      <c r="A133" t="s">
        <v>585</v>
      </c>
      <c r="B133" t="s">
        <v>586</v>
      </c>
      <c r="C133" t="s">
        <v>546</v>
      </c>
      <c r="D133" t="s">
        <v>390</v>
      </c>
      <c r="E133" t="s">
        <v>94</v>
      </c>
      <c r="F133" s="4">
        <v>36.760489999999997</v>
      </c>
      <c r="G133" s="4">
        <v>27.137319999999999</v>
      </c>
      <c r="H133" s="5">
        <v>4</v>
      </c>
      <c r="I133" t="s">
        <v>95</v>
      </c>
      <c r="J133" t="s">
        <v>71</v>
      </c>
      <c r="K133" t="s">
        <v>57</v>
      </c>
      <c r="L133" t="s">
        <v>57</v>
      </c>
      <c r="M133" t="s">
        <v>56</v>
      </c>
      <c r="N133" t="s">
        <v>57</v>
      </c>
      <c r="O133" t="s">
        <v>57</v>
      </c>
      <c r="P133" t="s">
        <v>71</v>
      </c>
      <c r="Q133" s="5"/>
      <c r="R133" s="5"/>
      <c r="S133" t="s">
        <v>180</v>
      </c>
      <c r="T133" t="s">
        <v>57</v>
      </c>
      <c r="U133" t="s">
        <v>97</v>
      </c>
      <c r="V133" t="s">
        <v>98</v>
      </c>
      <c r="W133" s="10"/>
      <c r="X133" t="s">
        <v>98</v>
      </c>
      <c r="Y133" t="s">
        <v>98</v>
      </c>
      <c r="Z133" t="s">
        <v>98</v>
      </c>
      <c r="AA133" t="s">
        <v>98</v>
      </c>
      <c r="AB133" t="s">
        <v>98</v>
      </c>
      <c r="AC133" t="s">
        <v>98</v>
      </c>
      <c r="AD133" t="s">
        <v>98</v>
      </c>
      <c r="AE133" t="s">
        <v>98</v>
      </c>
      <c r="AF133" t="s">
        <v>63</v>
      </c>
      <c r="AG133" t="s">
        <v>63</v>
      </c>
      <c r="AH133" s="3" t="s">
        <v>587</v>
      </c>
      <c r="AI133" s="3" t="s">
        <v>588</v>
      </c>
      <c r="AJ133" s="3" t="s">
        <v>65</v>
      </c>
      <c r="AK133" s="3" t="s">
        <v>62</v>
      </c>
      <c r="AL133" s="3" t="s">
        <v>62</v>
      </c>
      <c r="AM133" s="3" t="s">
        <v>85</v>
      </c>
      <c r="AN133" s="3" t="s">
        <v>67</v>
      </c>
      <c r="AO133" s="3" t="s">
        <v>86</v>
      </c>
      <c r="AP133" s="3" t="s">
        <v>87</v>
      </c>
      <c r="AQ133" s="3">
        <v>46213</v>
      </c>
      <c r="AR133" s="3" t="s">
        <v>88</v>
      </c>
      <c r="AS133" s="3" t="s">
        <v>95</v>
      </c>
      <c r="AT133" s="3" t="s">
        <v>100</v>
      </c>
      <c r="AU133" s="3" t="s">
        <v>73</v>
      </c>
      <c r="AV133" s="3" t="s">
        <v>95</v>
      </c>
      <c r="AW133" s="3" t="s">
        <v>101</v>
      </c>
      <c r="AX133" s="3" t="s">
        <v>75</v>
      </c>
      <c r="AY133" s="3" t="s">
        <v>76</v>
      </c>
    </row>
    <row r="134" spans="1:51" ht="140">
      <c r="A134" t="s">
        <v>589</v>
      </c>
      <c r="B134" t="s">
        <v>590</v>
      </c>
      <c r="C134" t="s">
        <v>546</v>
      </c>
      <c r="D134" t="s">
        <v>390</v>
      </c>
      <c r="E134" t="s">
        <v>94</v>
      </c>
      <c r="F134" s="4">
        <v>36.787520000000001</v>
      </c>
      <c r="G134" s="4">
        <v>27.175809999999998</v>
      </c>
      <c r="H134" s="5">
        <v>3.9</v>
      </c>
      <c r="I134" t="s">
        <v>95</v>
      </c>
      <c r="J134" t="s">
        <v>71</v>
      </c>
      <c r="K134" t="s">
        <v>57</v>
      </c>
      <c r="L134" t="s">
        <v>57</v>
      </c>
      <c r="M134" t="s">
        <v>56</v>
      </c>
      <c r="N134" t="s">
        <v>57</v>
      </c>
      <c r="O134" t="s">
        <v>57</v>
      </c>
      <c r="P134" t="s">
        <v>71</v>
      </c>
      <c r="Q134" s="5"/>
      <c r="R134" s="5"/>
      <c r="S134" t="s">
        <v>180</v>
      </c>
      <c r="T134" t="s">
        <v>57</v>
      </c>
      <c r="U134" t="s">
        <v>97</v>
      </c>
      <c r="V134" t="s">
        <v>98</v>
      </c>
      <c r="W134" s="10"/>
      <c r="X134" t="s">
        <v>98</v>
      </c>
      <c r="Y134" t="s">
        <v>98</v>
      </c>
      <c r="Z134" t="s">
        <v>98</v>
      </c>
      <c r="AA134" t="s">
        <v>98</v>
      </c>
      <c r="AB134" t="s">
        <v>98</v>
      </c>
      <c r="AC134" t="s">
        <v>98</v>
      </c>
      <c r="AD134" t="s">
        <v>98</v>
      </c>
      <c r="AE134" t="s">
        <v>98</v>
      </c>
      <c r="AF134" t="s">
        <v>83</v>
      </c>
      <c r="AG134" t="s">
        <v>63</v>
      </c>
      <c r="AH134" s="3" t="s">
        <v>591</v>
      </c>
      <c r="AI134" s="3" t="s">
        <v>592</v>
      </c>
      <c r="AJ134" s="3" t="s">
        <v>65</v>
      </c>
      <c r="AK134" s="3" t="s">
        <v>62</v>
      </c>
      <c r="AL134" s="3" t="s">
        <v>62</v>
      </c>
      <c r="AM134" s="3" t="s">
        <v>85</v>
      </c>
      <c r="AN134" s="3" t="s">
        <v>67</v>
      </c>
      <c r="AO134" s="3" t="s">
        <v>86</v>
      </c>
      <c r="AP134" s="3" t="s">
        <v>87</v>
      </c>
      <c r="AQ134" s="3">
        <v>46213</v>
      </c>
      <c r="AR134" s="3" t="s">
        <v>88</v>
      </c>
      <c r="AS134" s="3" t="s">
        <v>95</v>
      </c>
      <c r="AT134" s="3" t="s">
        <v>100</v>
      </c>
      <c r="AU134" s="3" t="s">
        <v>73</v>
      </c>
      <c r="AV134" s="3" t="s">
        <v>95</v>
      </c>
      <c r="AW134" s="3" t="s">
        <v>101</v>
      </c>
      <c r="AX134" s="3" t="s">
        <v>75</v>
      </c>
      <c r="AY134" s="3" t="s">
        <v>76</v>
      </c>
    </row>
    <row r="135" spans="1:51" ht="140">
      <c r="A135" t="s">
        <v>593</v>
      </c>
      <c r="B135" t="s">
        <v>594</v>
      </c>
      <c r="C135" t="s">
        <v>546</v>
      </c>
      <c r="D135" t="s">
        <v>390</v>
      </c>
      <c r="E135" t="s">
        <v>94</v>
      </c>
      <c r="F135" s="4">
        <v>36.79072</v>
      </c>
      <c r="G135" s="4">
        <v>27.117699999999999</v>
      </c>
      <c r="H135" s="5">
        <v>3.8</v>
      </c>
      <c r="I135" t="s">
        <v>95</v>
      </c>
      <c r="J135" t="s">
        <v>71</v>
      </c>
      <c r="K135" t="s">
        <v>57</v>
      </c>
      <c r="L135" t="s">
        <v>57</v>
      </c>
      <c r="M135" t="s">
        <v>56</v>
      </c>
      <c r="N135" t="s">
        <v>57</v>
      </c>
      <c r="O135" t="s">
        <v>57</v>
      </c>
      <c r="P135" t="s">
        <v>71</v>
      </c>
      <c r="Q135" s="5"/>
      <c r="R135" s="5"/>
      <c r="S135" t="s">
        <v>180</v>
      </c>
      <c r="T135" t="s">
        <v>57</v>
      </c>
      <c r="U135" t="s">
        <v>97</v>
      </c>
      <c r="V135" t="s">
        <v>98</v>
      </c>
      <c r="W135" s="10"/>
      <c r="X135" t="s">
        <v>98</v>
      </c>
      <c r="Y135" t="s">
        <v>98</v>
      </c>
      <c r="Z135" t="s">
        <v>98</v>
      </c>
      <c r="AA135" t="s">
        <v>98</v>
      </c>
      <c r="AB135" t="s">
        <v>98</v>
      </c>
      <c r="AC135" t="s">
        <v>98</v>
      </c>
      <c r="AD135" t="s">
        <v>98</v>
      </c>
      <c r="AE135" t="s">
        <v>98</v>
      </c>
      <c r="AF135" t="s">
        <v>123</v>
      </c>
      <c r="AG135" t="s">
        <v>63</v>
      </c>
      <c r="AH135" s="3" t="s">
        <v>595</v>
      </c>
      <c r="AI135" s="3" t="s">
        <v>596</v>
      </c>
      <c r="AJ135" s="3" t="s">
        <v>65</v>
      </c>
      <c r="AK135" s="3" t="s">
        <v>62</v>
      </c>
      <c r="AL135" s="3" t="s">
        <v>62</v>
      </c>
      <c r="AM135" s="3" t="s">
        <v>85</v>
      </c>
      <c r="AN135" s="3" t="s">
        <v>67</v>
      </c>
      <c r="AO135" s="3" t="s">
        <v>86</v>
      </c>
      <c r="AP135" s="3" t="s">
        <v>87</v>
      </c>
      <c r="AQ135" s="3">
        <v>46213</v>
      </c>
      <c r="AR135" s="3" t="s">
        <v>88</v>
      </c>
      <c r="AS135" s="3" t="s">
        <v>95</v>
      </c>
      <c r="AT135" s="3" t="s">
        <v>100</v>
      </c>
      <c r="AU135" s="3" t="s">
        <v>73</v>
      </c>
      <c r="AV135" s="3" t="s">
        <v>95</v>
      </c>
      <c r="AW135" s="3" t="s">
        <v>101</v>
      </c>
      <c r="AX135" s="3" t="s">
        <v>75</v>
      </c>
      <c r="AY135" s="3" t="s">
        <v>76</v>
      </c>
    </row>
    <row r="136" spans="1:51" ht="140">
      <c r="A136" t="s">
        <v>597</v>
      </c>
      <c r="B136" t="s">
        <v>598</v>
      </c>
      <c r="C136" t="s">
        <v>599</v>
      </c>
      <c r="D136" t="s">
        <v>390</v>
      </c>
      <c r="E136" t="s">
        <v>79</v>
      </c>
      <c r="F136" s="4">
        <v>36.951000000000001</v>
      </c>
      <c r="G136" s="4">
        <v>26.983000000000001</v>
      </c>
      <c r="H136" s="5">
        <v>3.4</v>
      </c>
      <c r="I136" t="s">
        <v>71</v>
      </c>
      <c r="J136" t="s">
        <v>71</v>
      </c>
      <c r="K136" t="s">
        <v>57</v>
      </c>
      <c r="L136" t="s">
        <v>57</v>
      </c>
      <c r="M136" t="s">
        <v>57</v>
      </c>
      <c r="N136" t="s">
        <v>57</v>
      </c>
      <c r="O136" t="s">
        <v>57</v>
      </c>
      <c r="P136" t="s">
        <v>71</v>
      </c>
      <c r="Q136" s="5"/>
      <c r="R136" s="5"/>
      <c r="S136" t="s">
        <v>108</v>
      </c>
      <c r="T136" t="s">
        <v>81</v>
      </c>
      <c r="U136" t="s">
        <v>109</v>
      </c>
      <c r="V136" t="s">
        <v>83</v>
      </c>
      <c r="W136" s="10"/>
      <c r="X136" t="s">
        <v>62</v>
      </c>
      <c r="Y136" t="s">
        <v>62</v>
      </c>
      <c r="Z136" t="s">
        <v>62</v>
      </c>
      <c r="AA136" t="s">
        <v>62</v>
      </c>
      <c r="AB136" t="s">
        <v>62</v>
      </c>
      <c r="AC136" t="s">
        <v>62</v>
      </c>
      <c r="AD136" t="s">
        <v>62</v>
      </c>
      <c r="AE136" t="s">
        <v>62</v>
      </c>
      <c r="AF136" t="s">
        <v>63</v>
      </c>
      <c r="AG136" t="s">
        <v>63</v>
      </c>
      <c r="AH136" s="3" t="s">
        <v>600</v>
      </c>
      <c r="AI136" s="3" t="s">
        <v>601</v>
      </c>
      <c r="AJ136" s="3" t="s">
        <v>341</v>
      </c>
      <c r="AK136" s="3" t="s">
        <v>62</v>
      </c>
      <c r="AL136" s="3" t="s">
        <v>62</v>
      </c>
      <c r="AM136" s="3" t="s">
        <v>66</v>
      </c>
      <c r="AN136" s="3" t="s">
        <v>67</v>
      </c>
      <c r="AO136" s="3" t="s">
        <v>68</v>
      </c>
      <c r="AP136" s="3" t="s">
        <v>69</v>
      </c>
      <c r="AQ136" s="3">
        <v>46213</v>
      </c>
      <c r="AR136" s="3" t="s">
        <v>70</v>
      </c>
      <c r="AS136" s="3" t="s">
        <v>89</v>
      </c>
      <c r="AT136" s="3" t="s">
        <v>90</v>
      </c>
      <c r="AU136" s="3" t="s">
        <v>73</v>
      </c>
      <c r="AV136" s="3" t="s">
        <v>89</v>
      </c>
      <c r="AW136" s="3" t="s">
        <v>91</v>
      </c>
      <c r="AX136" s="3" t="s">
        <v>75</v>
      </c>
      <c r="AY136" s="3" t="s">
        <v>76</v>
      </c>
    </row>
    <row r="137" spans="1:51" ht="140">
      <c r="A137" t="s">
        <v>602</v>
      </c>
      <c r="B137" t="s">
        <v>603</v>
      </c>
      <c r="C137" t="s">
        <v>599</v>
      </c>
      <c r="D137" t="s">
        <v>390</v>
      </c>
      <c r="E137" t="s">
        <v>94</v>
      </c>
      <c r="F137" s="4">
        <v>36.972000000000001</v>
      </c>
      <c r="G137" s="4">
        <v>27.036999999999999</v>
      </c>
      <c r="H137" s="5">
        <v>3.4</v>
      </c>
      <c r="I137" t="s">
        <v>95</v>
      </c>
      <c r="J137" t="s">
        <v>71</v>
      </c>
      <c r="K137" t="s">
        <v>57</v>
      </c>
      <c r="L137" t="s">
        <v>57</v>
      </c>
      <c r="M137" t="s">
        <v>56</v>
      </c>
      <c r="N137" t="s">
        <v>57</v>
      </c>
      <c r="O137" t="s">
        <v>57</v>
      </c>
      <c r="P137" t="s">
        <v>71</v>
      </c>
      <c r="Q137" s="5"/>
      <c r="R137" s="5"/>
      <c r="S137" t="s">
        <v>180</v>
      </c>
      <c r="T137" t="s">
        <v>57</v>
      </c>
      <c r="U137" t="s">
        <v>97</v>
      </c>
      <c r="V137" t="s">
        <v>98</v>
      </c>
      <c r="W137" s="10"/>
      <c r="X137" t="s">
        <v>98</v>
      </c>
      <c r="Y137" t="s">
        <v>98</v>
      </c>
      <c r="Z137" t="s">
        <v>98</v>
      </c>
      <c r="AA137" t="s">
        <v>98</v>
      </c>
      <c r="AB137" t="s">
        <v>98</v>
      </c>
      <c r="AC137" t="s">
        <v>98</v>
      </c>
      <c r="AD137" t="s">
        <v>98</v>
      </c>
      <c r="AE137" t="s">
        <v>98</v>
      </c>
      <c r="AF137" t="s">
        <v>83</v>
      </c>
      <c r="AG137" t="s">
        <v>63</v>
      </c>
      <c r="AH137" s="3" t="s">
        <v>604</v>
      </c>
      <c r="AI137" s="3" t="s">
        <v>605</v>
      </c>
      <c r="AJ137" s="3" t="s">
        <v>65</v>
      </c>
      <c r="AK137" s="3" t="s">
        <v>62</v>
      </c>
      <c r="AL137" s="3" t="s">
        <v>62</v>
      </c>
      <c r="AM137" s="3" t="s">
        <v>66</v>
      </c>
      <c r="AN137" s="3" t="s">
        <v>67</v>
      </c>
      <c r="AO137" s="3" t="s">
        <v>68</v>
      </c>
      <c r="AP137" s="3" t="s">
        <v>69</v>
      </c>
      <c r="AQ137" s="3">
        <v>46213</v>
      </c>
      <c r="AR137" s="3" t="s">
        <v>70</v>
      </c>
      <c r="AS137" s="3" t="s">
        <v>95</v>
      </c>
      <c r="AT137" s="3" t="s">
        <v>100</v>
      </c>
      <c r="AU137" s="3" t="s">
        <v>73</v>
      </c>
      <c r="AV137" s="3" t="s">
        <v>95</v>
      </c>
      <c r="AW137" s="3" t="s">
        <v>101</v>
      </c>
      <c r="AX137" s="3" t="s">
        <v>75</v>
      </c>
      <c r="AY137" s="3" t="s">
        <v>76</v>
      </c>
    </row>
    <row r="138" spans="1:51" ht="140">
      <c r="A138" t="s">
        <v>606</v>
      </c>
      <c r="B138" t="s">
        <v>470</v>
      </c>
      <c r="C138" t="s">
        <v>599</v>
      </c>
      <c r="D138" t="s">
        <v>390</v>
      </c>
      <c r="E138" t="s">
        <v>94</v>
      </c>
      <c r="F138" s="4">
        <v>36.979999999999997</v>
      </c>
      <c r="G138" s="4">
        <v>26.992519999999999</v>
      </c>
      <c r="H138" s="5">
        <v>3.8</v>
      </c>
      <c r="I138" t="s">
        <v>95</v>
      </c>
      <c r="J138" t="s">
        <v>71</v>
      </c>
      <c r="K138" t="s">
        <v>57</v>
      </c>
      <c r="L138" t="s">
        <v>57</v>
      </c>
      <c r="M138" t="s">
        <v>56</v>
      </c>
      <c r="N138" t="s">
        <v>57</v>
      </c>
      <c r="O138" t="s">
        <v>57</v>
      </c>
      <c r="P138" t="s">
        <v>71</v>
      </c>
      <c r="Q138" s="5"/>
      <c r="R138" s="5"/>
      <c r="S138" t="s">
        <v>180</v>
      </c>
      <c r="T138" t="s">
        <v>57</v>
      </c>
      <c r="U138" t="s">
        <v>97</v>
      </c>
      <c r="V138" t="s">
        <v>98</v>
      </c>
      <c r="W138" s="10"/>
      <c r="X138" t="s">
        <v>98</v>
      </c>
      <c r="Y138" t="s">
        <v>98</v>
      </c>
      <c r="Z138" t="s">
        <v>98</v>
      </c>
      <c r="AA138" t="s">
        <v>98</v>
      </c>
      <c r="AB138" t="s">
        <v>98</v>
      </c>
      <c r="AC138" t="s">
        <v>98</v>
      </c>
      <c r="AD138" t="s">
        <v>98</v>
      </c>
      <c r="AE138" t="s">
        <v>98</v>
      </c>
      <c r="AF138" t="s">
        <v>83</v>
      </c>
      <c r="AG138" t="s">
        <v>63</v>
      </c>
      <c r="AH138" s="3" t="s">
        <v>607</v>
      </c>
      <c r="AI138" s="3" t="s">
        <v>608</v>
      </c>
      <c r="AJ138" s="3" t="s">
        <v>65</v>
      </c>
      <c r="AK138" s="3" t="s">
        <v>62</v>
      </c>
      <c r="AL138" s="3" t="s">
        <v>62</v>
      </c>
      <c r="AM138" s="3" t="s">
        <v>85</v>
      </c>
      <c r="AN138" s="3" t="s">
        <v>67</v>
      </c>
      <c r="AO138" s="3" t="s">
        <v>86</v>
      </c>
      <c r="AP138" s="3" t="s">
        <v>87</v>
      </c>
      <c r="AQ138" s="3">
        <v>46213</v>
      </c>
      <c r="AR138" s="3" t="s">
        <v>88</v>
      </c>
      <c r="AS138" s="3" t="s">
        <v>95</v>
      </c>
      <c r="AT138" s="3" t="s">
        <v>100</v>
      </c>
      <c r="AU138" s="3" t="s">
        <v>73</v>
      </c>
      <c r="AV138" s="3" t="s">
        <v>95</v>
      </c>
      <c r="AW138" s="3" t="s">
        <v>101</v>
      </c>
      <c r="AX138" s="3" t="s">
        <v>75</v>
      </c>
      <c r="AY138" s="3" t="s">
        <v>76</v>
      </c>
    </row>
    <row r="139" spans="1:51" ht="140">
      <c r="A139" t="s">
        <v>609</v>
      </c>
      <c r="B139" t="s">
        <v>610</v>
      </c>
      <c r="C139" t="s">
        <v>599</v>
      </c>
      <c r="D139" t="s">
        <v>390</v>
      </c>
      <c r="E139" t="s">
        <v>94</v>
      </c>
      <c r="F139" s="4">
        <v>36.986759999999997</v>
      </c>
      <c r="G139" s="4">
        <v>26.970770000000002</v>
      </c>
      <c r="H139" s="5">
        <v>4</v>
      </c>
      <c r="I139" t="s">
        <v>95</v>
      </c>
      <c r="J139" t="s">
        <v>71</v>
      </c>
      <c r="K139" t="s">
        <v>57</v>
      </c>
      <c r="L139" t="s">
        <v>57</v>
      </c>
      <c r="M139" t="s">
        <v>56</v>
      </c>
      <c r="N139" t="s">
        <v>57</v>
      </c>
      <c r="O139" t="s">
        <v>57</v>
      </c>
      <c r="P139" t="s">
        <v>71</v>
      </c>
      <c r="Q139" s="5"/>
      <c r="R139" s="5"/>
      <c r="S139" t="s">
        <v>405</v>
      </c>
      <c r="T139" t="s">
        <v>114</v>
      </c>
      <c r="U139" t="s">
        <v>104</v>
      </c>
      <c r="V139" t="s">
        <v>98</v>
      </c>
      <c r="W139" s="10"/>
      <c r="X139" t="s">
        <v>98</v>
      </c>
      <c r="Y139" t="s">
        <v>98</v>
      </c>
      <c r="Z139" t="s">
        <v>98</v>
      </c>
      <c r="AA139" t="s">
        <v>98</v>
      </c>
      <c r="AB139" t="s">
        <v>98</v>
      </c>
      <c r="AC139" t="s">
        <v>98</v>
      </c>
      <c r="AD139" t="s">
        <v>98</v>
      </c>
      <c r="AE139" t="s">
        <v>98</v>
      </c>
      <c r="AF139" t="s">
        <v>123</v>
      </c>
      <c r="AG139" t="s">
        <v>63</v>
      </c>
      <c r="AH139" s="3" t="s">
        <v>611</v>
      </c>
      <c r="AI139" s="3" t="s">
        <v>612</v>
      </c>
      <c r="AJ139" s="3" t="s">
        <v>65</v>
      </c>
      <c r="AK139" s="3" t="s">
        <v>62</v>
      </c>
      <c r="AL139" s="3" t="s">
        <v>62</v>
      </c>
      <c r="AM139" s="3" t="s">
        <v>85</v>
      </c>
      <c r="AN139" s="3" t="s">
        <v>67</v>
      </c>
      <c r="AO139" s="3" t="s">
        <v>86</v>
      </c>
      <c r="AP139" s="3" t="s">
        <v>87</v>
      </c>
      <c r="AQ139" s="3">
        <v>46213</v>
      </c>
      <c r="AR139" s="3" t="s">
        <v>88</v>
      </c>
      <c r="AS139" s="3" t="s">
        <v>95</v>
      </c>
      <c r="AT139" s="3" t="s">
        <v>100</v>
      </c>
      <c r="AU139" s="3" t="s">
        <v>73</v>
      </c>
      <c r="AV139" s="3" t="s">
        <v>95</v>
      </c>
      <c r="AW139" s="3" t="s">
        <v>101</v>
      </c>
      <c r="AX139" s="3" t="s">
        <v>75</v>
      </c>
      <c r="AY139" s="3" t="s">
        <v>76</v>
      </c>
    </row>
    <row r="140" spans="1:51" ht="140">
      <c r="A140" t="s">
        <v>613</v>
      </c>
      <c r="B140" t="s">
        <v>614</v>
      </c>
      <c r="C140" t="s">
        <v>599</v>
      </c>
      <c r="D140" t="s">
        <v>390</v>
      </c>
      <c r="E140" t="s">
        <v>94</v>
      </c>
      <c r="F140" s="4">
        <v>36.970039999999997</v>
      </c>
      <c r="G140" s="4">
        <v>26.981089999999998</v>
      </c>
      <c r="H140" s="5">
        <v>3.5</v>
      </c>
      <c r="I140" t="s">
        <v>95</v>
      </c>
      <c r="J140" t="s">
        <v>71</v>
      </c>
      <c r="K140" t="s">
        <v>71</v>
      </c>
      <c r="L140" t="s">
        <v>57</v>
      </c>
      <c r="M140" t="s">
        <v>56</v>
      </c>
      <c r="N140" t="s">
        <v>57</v>
      </c>
      <c r="O140" t="s">
        <v>57</v>
      </c>
      <c r="P140" t="s">
        <v>71</v>
      </c>
      <c r="Q140" s="5"/>
      <c r="R140" s="5"/>
      <c r="S140" t="s">
        <v>113</v>
      </c>
      <c r="T140" t="s">
        <v>114</v>
      </c>
      <c r="U140" t="s">
        <v>115</v>
      </c>
      <c r="V140" t="s">
        <v>98</v>
      </c>
      <c r="W140" s="10"/>
      <c r="X140" t="s">
        <v>98</v>
      </c>
      <c r="Y140" t="s">
        <v>98</v>
      </c>
      <c r="Z140" t="s">
        <v>98</v>
      </c>
      <c r="AA140" t="s">
        <v>98</v>
      </c>
      <c r="AB140" t="s">
        <v>98</v>
      </c>
      <c r="AC140" t="s">
        <v>98</v>
      </c>
      <c r="AD140" t="s">
        <v>98</v>
      </c>
      <c r="AE140" t="s">
        <v>98</v>
      </c>
      <c r="AF140" t="s">
        <v>83</v>
      </c>
      <c r="AG140" t="s">
        <v>63</v>
      </c>
      <c r="AH140" s="3" t="s">
        <v>615</v>
      </c>
      <c r="AI140" s="3" t="s">
        <v>616</v>
      </c>
      <c r="AJ140" s="3" t="s">
        <v>65</v>
      </c>
      <c r="AK140" s="3" t="s">
        <v>62</v>
      </c>
      <c r="AL140" s="3" t="s">
        <v>62</v>
      </c>
      <c r="AM140" s="3" t="s">
        <v>85</v>
      </c>
      <c r="AN140" s="3" t="s">
        <v>67</v>
      </c>
      <c r="AO140" s="3" t="s">
        <v>86</v>
      </c>
      <c r="AP140" s="3" t="s">
        <v>87</v>
      </c>
      <c r="AQ140" s="3">
        <v>46213</v>
      </c>
      <c r="AR140" s="3" t="s">
        <v>88</v>
      </c>
      <c r="AS140" s="3" t="s">
        <v>95</v>
      </c>
      <c r="AT140" s="3" t="s">
        <v>100</v>
      </c>
      <c r="AU140" s="3" t="s">
        <v>73</v>
      </c>
      <c r="AV140" s="3" t="s">
        <v>95</v>
      </c>
      <c r="AW140" s="3" t="s">
        <v>101</v>
      </c>
      <c r="AX140" s="3" t="s">
        <v>75</v>
      </c>
      <c r="AY140" s="3" t="s">
        <v>76</v>
      </c>
    </row>
    <row r="141" spans="1:51" ht="140">
      <c r="A141" t="s">
        <v>617</v>
      </c>
      <c r="B141" t="s">
        <v>618</v>
      </c>
      <c r="C141" t="s">
        <v>599</v>
      </c>
      <c r="D141" t="s">
        <v>390</v>
      </c>
      <c r="E141" t="s">
        <v>94</v>
      </c>
      <c r="F141" s="4">
        <v>36.992690000000003</v>
      </c>
      <c r="G141" s="4">
        <v>26.992190000000001</v>
      </c>
      <c r="H141" s="5">
        <v>3.7</v>
      </c>
      <c r="I141" t="s">
        <v>95</v>
      </c>
      <c r="J141" t="s">
        <v>71</v>
      </c>
      <c r="K141" t="s">
        <v>57</v>
      </c>
      <c r="L141" t="s">
        <v>57</v>
      </c>
      <c r="M141" t="s">
        <v>56</v>
      </c>
      <c r="N141" t="s">
        <v>57</v>
      </c>
      <c r="O141" t="s">
        <v>57</v>
      </c>
      <c r="P141" t="s">
        <v>71</v>
      </c>
      <c r="Q141" s="5"/>
      <c r="R141" s="5"/>
      <c r="S141" t="s">
        <v>113</v>
      </c>
      <c r="T141" t="s">
        <v>114</v>
      </c>
      <c r="U141" t="s">
        <v>115</v>
      </c>
      <c r="V141" t="s">
        <v>98</v>
      </c>
      <c r="W141" s="10"/>
      <c r="X141" t="s">
        <v>98</v>
      </c>
      <c r="Y141" t="s">
        <v>98</v>
      </c>
      <c r="Z141" t="s">
        <v>98</v>
      </c>
      <c r="AA141" t="s">
        <v>98</v>
      </c>
      <c r="AB141" t="s">
        <v>98</v>
      </c>
      <c r="AC141" t="s">
        <v>98</v>
      </c>
      <c r="AD141" t="s">
        <v>98</v>
      </c>
      <c r="AE141" t="s">
        <v>98</v>
      </c>
      <c r="AF141" t="s">
        <v>63</v>
      </c>
      <c r="AG141" t="s">
        <v>63</v>
      </c>
      <c r="AH141" s="3" t="s">
        <v>619</v>
      </c>
      <c r="AI141" s="3" t="s">
        <v>620</v>
      </c>
      <c r="AJ141" s="3" t="s">
        <v>65</v>
      </c>
      <c r="AK141" s="3" t="s">
        <v>62</v>
      </c>
      <c r="AL141" s="3" t="s">
        <v>62</v>
      </c>
      <c r="AM141" s="3" t="s">
        <v>85</v>
      </c>
      <c r="AN141" s="3" t="s">
        <v>67</v>
      </c>
      <c r="AO141" s="3" t="s">
        <v>86</v>
      </c>
      <c r="AP141" s="3" t="s">
        <v>87</v>
      </c>
      <c r="AQ141" s="3">
        <v>46213</v>
      </c>
      <c r="AR141" s="3" t="s">
        <v>88</v>
      </c>
      <c r="AS141" s="3" t="s">
        <v>95</v>
      </c>
      <c r="AT141" s="3" t="s">
        <v>100</v>
      </c>
      <c r="AU141" s="3" t="s">
        <v>73</v>
      </c>
      <c r="AV141" s="3" t="s">
        <v>95</v>
      </c>
      <c r="AW141" s="3" t="s">
        <v>101</v>
      </c>
      <c r="AX141" s="3" t="s">
        <v>75</v>
      </c>
      <c r="AY141" s="3" t="s">
        <v>76</v>
      </c>
    </row>
    <row r="142" spans="1:51" ht="140">
      <c r="A142" t="s">
        <v>621</v>
      </c>
      <c r="B142" t="s">
        <v>622</v>
      </c>
      <c r="C142" t="s">
        <v>599</v>
      </c>
      <c r="D142" t="s">
        <v>390</v>
      </c>
      <c r="E142" t="s">
        <v>94</v>
      </c>
      <c r="F142" s="4">
        <v>36.977220000000003</v>
      </c>
      <c r="G142" s="4">
        <v>26.960280000000001</v>
      </c>
      <c r="H142" s="5">
        <v>4</v>
      </c>
      <c r="I142" t="s">
        <v>95</v>
      </c>
      <c r="J142" t="s">
        <v>71</v>
      </c>
      <c r="K142" t="s">
        <v>57</v>
      </c>
      <c r="L142" t="s">
        <v>57</v>
      </c>
      <c r="M142" t="s">
        <v>56</v>
      </c>
      <c r="N142" t="s">
        <v>57</v>
      </c>
      <c r="O142" t="s">
        <v>57</v>
      </c>
      <c r="P142" t="s">
        <v>71</v>
      </c>
      <c r="Q142" s="5"/>
      <c r="R142" s="5"/>
      <c r="S142" t="s">
        <v>405</v>
      </c>
      <c r="T142" t="s">
        <v>114</v>
      </c>
      <c r="U142" t="s">
        <v>104</v>
      </c>
      <c r="V142" t="s">
        <v>98</v>
      </c>
      <c r="W142" s="10"/>
      <c r="X142" t="s">
        <v>98</v>
      </c>
      <c r="Y142" t="s">
        <v>98</v>
      </c>
      <c r="Z142" t="s">
        <v>98</v>
      </c>
      <c r="AA142" t="s">
        <v>98</v>
      </c>
      <c r="AB142" t="s">
        <v>98</v>
      </c>
      <c r="AC142" t="s">
        <v>98</v>
      </c>
      <c r="AD142" t="s">
        <v>98</v>
      </c>
      <c r="AE142" t="s">
        <v>98</v>
      </c>
      <c r="AF142" t="s">
        <v>63</v>
      </c>
      <c r="AG142" t="s">
        <v>63</v>
      </c>
      <c r="AH142" s="3" t="s">
        <v>623</v>
      </c>
      <c r="AI142" s="3" t="s">
        <v>624</v>
      </c>
      <c r="AJ142" s="3" t="s">
        <v>65</v>
      </c>
      <c r="AK142" s="3" t="s">
        <v>62</v>
      </c>
      <c r="AL142" s="3" t="s">
        <v>62</v>
      </c>
      <c r="AM142" s="3" t="s">
        <v>85</v>
      </c>
      <c r="AN142" s="3" t="s">
        <v>67</v>
      </c>
      <c r="AO142" s="3" t="s">
        <v>86</v>
      </c>
      <c r="AP142" s="3" t="s">
        <v>87</v>
      </c>
      <c r="AQ142" s="3">
        <v>46213</v>
      </c>
      <c r="AR142" s="3" t="s">
        <v>88</v>
      </c>
      <c r="AS142" s="3" t="s">
        <v>95</v>
      </c>
      <c r="AT142" s="3" t="s">
        <v>100</v>
      </c>
      <c r="AU142" s="3" t="s">
        <v>73</v>
      </c>
      <c r="AV142" s="3" t="s">
        <v>95</v>
      </c>
      <c r="AW142" s="3" t="s">
        <v>101</v>
      </c>
      <c r="AX142" s="3" t="s">
        <v>75</v>
      </c>
      <c r="AY142" s="3" t="s">
        <v>76</v>
      </c>
    </row>
    <row r="143" spans="1:51" ht="140">
      <c r="A143" t="s">
        <v>625</v>
      </c>
      <c r="B143" t="s">
        <v>626</v>
      </c>
      <c r="C143" t="s">
        <v>599</v>
      </c>
      <c r="D143" t="s">
        <v>390</v>
      </c>
      <c r="E143" t="s">
        <v>94</v>
      </c>
      <c r="F143" s="4">
        <v>36.971400000000003</v>
      </c>
      <c r="G143" s="4">
        <v>26.99689</v>
      </c>
      <c r="H143" s="5">
        <v>4.2</v>
      </c>
      <c r="I143" t="s">
        <v>95</v>
      </c>
      <c r="J143" t="s">
        <v>71</v>
      </c>
      <c r="K143" t="s">
        <v>57</v>
      </c>
      <c r="L143" t="s">
        <v>57</v>
      </c>
      <c r="M143" t="s">
        <v>56</v>
      </c>
      <c r="N143" t="s">
        <v>57</v>
      </c>
      <c r="O143" t="s">
        <v>57</v>
      </c>
      <c r="P143" t="s">
        <v>71</v>
      </c>
      <c r="Q143" s="5"/>
      <c r="R143" s="5"/>
      <c r="S143" t="s">
        <v>180</v>
      </c>
      <c r="T143" t="s">
        <v>57</v>
      </c>
      <c r="U143" t="s">
        <v>97</v>
      </c>
      <c r="V143" t="s">
        <v>98</v>
      </c>
      <c r="W143" s="10"/>
      <c r="X143" t="s">
        <v>98</v>
      </c>
      <c r="Y143" t="s">
        <v>98</v>
      </c>
      <c r="Z143" t="s">
        <v>98</v>
      </c>
      <c r="AA143" t="s">
        <v>98</v>
      </c>
      <c r="AB143" t="s">
        <v>98</v>
      </c>
      <c r="AC143" t="s">
        <v>98</v>
      </c>
      <c r="AD143" t="s">
        <v>98</v>
      </c>
      <c r="AE143" t="s">
        <v>98</v>
      </c>
      <c r="AF143" t="s">
        <v>63</v>
      </c>
      <c r="AG143" t="s">
        <v>63</v>
      </c>
      <c r="AH143" s="3" t="s">
        <v>627</v>
      </c>
      <c r="AI143" s="3" t="s">
        <v>628</v>
      </c>
      <c r="AJ143" s="3" t="s">
        <v>65</v>
      </c>
      <c r="AK143" s="3" t="s">
        <v>62</v>
      </c>
      <c r="AL143" s="3" t="s">
        <v>62</v>
      </c>
      <c r="AM143" s="3" t="s">
        <v>85</v>
      </c>
      <c r="AN143" s="3" t="s">
        <v>67</v>
      </c>
      <c r="AO143" s="3" t="s">
        <v>86</v>
      </c>
      <c r="AP143" s="3" t="s">
        <v>87</v>
      </c>
      <c r="AQ143" s="3">
        <v>46213</v>
      </c>
      <c r="AR143" s="3" t="s">
        <v>88</v>
      </c>
      <c r="AS143" s="3" t="s">
        <v>95</v>
      </c>
      <c r="AT143" s="3" t="s">
        <v>100</v>
      </c>
      <c r="AU143" s="3" t="s">
        <v>73</v>
      </c>
      <c r="AV143" s="3" t="s">
        <v>95</v>
      </c>
      <c r="AW143" s="3" t="s">
        <v>101</v>
      </c>
      <c r="AX143" s="3" t="s">
        <v>75</v>
      </c>
      <c r="AY143" s="3" t="s">
        <v>76</v>
      </c>
    </row>
    <row r="144" spans="1:51" ht="140">
      <c r="A144" t="s">
        <v>629</v>
      </c>
      <c r="B144" t="s">
        <v>630</v>
      </c>
      <c r="C144" t="s">
        <v>599</v>
      </c>
      <c r="D144" t="s">
        <v>390</v>
      </c>
      <c r="E144" t="s">
        <v>94</v>
      </c>
      <c r="F144" s="4">
        <v>37.001249999999999</v>
      </c>
      <c r="G144" s="4">
        <v>26.97287</v>
      </c>
      <c r="H144" s="5">
        <v>3.4</v>
      </c>
      <c r="I144" t="s">
        <v>95</v>
      </c>
      <c r="J144" t="s">
        <v>71</v>
      </c>
      <c r="K144" t="s">
        <v>57</v>
      </c>
      <c r="L144" t="s">
        <v>57</v>
      </c>
      <c r="M144" t="s">
        <v>56</v>
      </c>
      <c r="N144" t="s">
        <v>57</v>
      </c>
      <c r="O144" t="s">
        <v>57</v>
      </c>
      <c r="P144" t="s">
        <v>71</v>
      </c>
      <c r="Q144" s="5"/>
      <c r="R144" s="5"/>
      <c r="S144" t="s">
        <v>180</v>
      </c>
      <c r="T144" t="s">
        <v>57</v>
      </c>
      <c r="U144" t="s">
        <v>97</v>
      </c>
      <c r="V144" t="s">
        <v>98</v>
      </c>
      <c r="W144" s="10"/>
      <c r="X144" t="s">
        <v>98</v>
      </c>
      <c r="Y144" t="s">
        <v>98</v>
      </c>
      <c r="Z144" t="s">
        <v>98</v>
      </c>
      <c r="AA144" t="s">
        <v>98</v>
      </c>
      <c r="AB144" t="s">
        <v>98</v>
      </c>
      <c r="AC144" t="s">
        <v>98</v>
      </c>
      <c r="AD144" t="s">
        <v>98</v>
      </c>
      <c r="AE144" t="s">
        <v>98</v>
      </c>
      <c r="AF144" t="s">
        <v>123</v>
      </c>
      <c r="AG144" t="s">
        <v>83</v>
      </c>
      <c r="AH144" s="3" t="s">
        <v>631</v>
      </c>
      <c r="AI144" s="3" t="s">
        <v>632</v>
      </c>
      <c r="AJ144" s="3" t="s">
        <v>65</v>
      </c>
      <c r="AK144" s="3" t="s">
        <v>62</v>
      </c>
      <c r="AL144" s="3" t="s">
        <v>62</v>
      </c>
      <c r="AM144" s="3" t="s">
        <v>85</v>
      </c>
      <c r="AN144" s="3" t="s">
        <v>67</v>
      </c>
      <c r="AO144" s="3" t="s">
        <v>86</v>
      </c>
      <c r="AP144" s="3" t="s">
        <v>87</v>
      </c>
      <c r="AQ144" s="3">
        <v>46213</v>
      </c>
      <c r="AR144" s="3" t="s">
        <v>88</v>
      </c>
      <c r="AS144" s="3" t="s">
        <v>95</v>
      </c>
      <c r="AT144" s="3" t="s">
        <v>100</v>
      </c>
      <c r="AU144" s="3" t="s">
        <v>73</v>
      </c>
      <c r="AV144" s="3" t="s">
        <v>95</v>
      </c>
      <c r="AW144" s="3" t="s">
        <v>101</v>
      </c>
      <c r="AX144" s="3" t="s">
        <v>75</v>
      </c>
      <c r="AY144" s="3" t="s">
        <v>76</v>
      </c>
    </row>
    <row r="145" spans="1:51" ht="140">
      <c r="A145" t="s">
        <v>633</v>
      </c>
      <c r="B145" t="s">
        <v>634</v>
      </c>
      <c r="C145" t="s">
        <v>599</v>
      </c>
      <c r="D145" t="s">
        <v>390</v>
      </c>
      <c r="E145" t="s">
        <v>94</v>
      </c>
      <c r="F145" s="4">
        <v>36.96049</v>
      </c>
      <c r="G145" s="4">
        <v>26.967279999999999</v>
      </c>
      <c r="H145" s="5">
        <v>4</v>
      </c>
      <c r="I145" t="s">
        <v>95</v>
      </c>
      <c r="J145" t="s">
        <v>71</v>
      </c>
      <c r="K145" t="s">
        <v>57</v>
      </c>
      <c r="L145" t="s">
        <v>57</v>
      </c>
      <c r="M145" t="s">
        <v>56</v>
      </c>
      <c r="N145" t="s">
        <v>57</v>
      </c>
      <c r="O145" t="s">
        <v>57</v>
      </c>
      <c r="P145" t="s">
        <v>71</v>
      </c>
      <c r="Q145" s="5"/>
      <c r="R145" s="5"/>
      <c r="S145" t="s">
        <v>96</v>
      </c>
      <c r="T145" t="s">
        <v>57</v>
      </c>
      <c r="U145" t="s">
        <v>122</v>
      </c>
      <c r="V145" t="s">
        <v>98</v>
      </c>
      <c r="W145" s="10"/>
      <c r="X145" t="s">
        <v>98</v>
      </c>
      <c r="Y145" t="s">
        <v>98</v>
      </c>
      <c r="Z145" t="s">
        <v>98</v>
      </c>
      <c r="AA145" t="s">
        <v>98</v>
      </c>
      <c r="AB145" t="s">
        <v>98</v>
      </c>
      <c r="AC145" t="s">
        <v>98</v>
      </c>
      <c r="AD145" t="s">
        <v>98</v>
      </c>
      <c r="AE145" t="s">
        <v>98</v>
      </c>
      <c r="AF145" t="s">
        <v>123</v>
      </c>
      <c r="AG145" t="s">
        <v>123</v>
      </c>
      <c r="AH145" s="3" t="s">
        <v>635</v>
      </c>
      <c r="AI145" s="3" t="s">
        <v>636</v>
      </c>
      <c r="AJ145" s="3" t="s">
        <v>65</v>
      </c>
      <c r="AK145" s="3" t="s">
        <v>62</v>
      </c>
      <c r="AL145" s="3" t="s">
        <v>62</v>
      </c>
      <c r="AM145" s="3" t="s">
        <v>85</v>
      </c>
      <c r="AN145" s="3" t="s">
        <v>67</v>
      </c>
      <c r="AO145" s="3" t="s">
        <v>86</v>
      </c>
      <c r="AP145" s="3" t="s">
        <v>87</v>
      </c>
      <c r="AQ145" s="3">
        <v>46213</v>
      </c>
      <c r="AR145" s="3" t="s">
        <v>88</v>
      </c>
      <c r="AS145" s="3" t="s">
        <v>95</v>
      </c>
      <c r="AT145" s="3" t="s">
        <v>100</v>
      </c>
      <c r="AU145" s="3" t="s">
        <v>73</v>
      </c>
      <c r="AV145" s="3" t="s">
        <v>95</v>
      </c>
      <c r="AW145" s="3" t="s">
        <v>101</v>
      </c>
      <c r="AX145" s="3" t="s">
        <v>75</v>
      </c>
      <c r="AY145" s="3" t="s">
        <v>76</v>
      </c>
    </row>
    <row r="146" spans="1:51" ht="140">
      <c r="A146" t="s">
        <v>637</v>
      </c>
      <c r="B146" t="s">
        <v>638</v>
      </c>
      <c r="C146" t="s">
        <v>599</v>
      </c>
      <c r="D146" t="s">
        <v>390</v>
      </c>
      <c r="E146" t="s">
        <v>94</v>
      </c>
      <c r="F146" s="4">
        <v>36.987520000000004</v>
      </c>
      <c r="G146" s="4">
        <v>27.005880000000001</v>
      </c>
      <c r="H146" s="5">
        <v>4.0999999999999996</v>
      </c>
      <c r="I146" t="s">
        <v>95</v>
      </c>
      <c r="J146" t="s">
        <v>71</v>
      </c>
      <c r="K146" t="s">
        <v>57</v>
      </c>
      <c r="L146" t="s">
        <v>57</v>
      </c>
      <c r="M146" t="s">
        <v>56</v>
      </c>
      <c r="N146" t="s">
        <v>57</v>
      </c>
      <c r="O146" t="s">
        <v>57</v>
      </c>
      <c r="P146" t="s">
        <v>71</v>
      </c>
      <c r="Q146" s="5"/>
      <c r="R146" s="5"/>
      <c r="S146" t="s">
        <v>96</v>
      </c>
      <c r="T146" t="s">
        <v>57</v>
      </c>
      <c r="U146" t="s">
        <v>122</v>
      </c>
      <c r="V146" t="s">
        <v>98</v>
      </c>
      <c r="W146" s="10"/>
      <c r="X146" t="s">
        <v>98</v>
      </c>
      <c r="Y146" t="s">
        <v>98</v>
      </c>
      <c r="Z146" t="s">
        <v>98</v>
      </c>
      <c r="AA146" t="s">
        <v>98</v>
      </c>
      <c r="AB146" t="s">
        <v>98</v>
      </c>
      <c r="AC146" t="s">
        <v>98</v>
      </c>
      <c r="AD146" t="s">
        <v>98</v>
      </c>
      <c r="AE146" t="s">
        <v>98</v>
      </c>
      <c r="AF146" t="s">
        <v>83</v>
      </c>
      <c r="AG146" t="s">
        <v>63</v>
      </c>
      <c r="AH146" s="3" t="s">
        <v>639</v>
      </c>
      <c r="AI146" s="3" t="s">
        <v>640</v>
      </c>
      <c r="AJ146" s="3" t="s">
        <v>65</v>
      </c>
      <c r="AK146" s="3" t="s">
        <v>62</v>
      </c>
      <c r="AL146" s="3" t="s">
        <v>62</v>
      </c>
      <c r="AM146" s="3" t="s">
        <v>85</v>
      </c>
      <c r="AN146" s="3" t="s">
        <v>67</v>
      </c>
      <c r="AO146" s="3" t="s">
        <v>86</v>
      </c>
      <c r="AP146" s="3" t="s">
        <v>87</v>
      </c>
      <c r="AQ146" s="3">
        <v>46213</v>
      </c>
      <c r="AR146" s="3" t="s">
        <v>88</v>
      </c>
      <c r="AS146" s="3" t="s">
        <v>95</v>
      </c>
      <c r="AT146" s="3" t="s">
        <v>100</v>
      </c>
      <c r="AU146" s="3" t="s">
        <v>73</v>
      </c>
      <c r="AV146" s="3" t="s">
        <v>95</v>
      </c>
      <c r="AW146" s="3" t="s">
        <v>101</v>
      </c>
      <c r="AX146" s="3" t="s">
        <v>75</v>
      </c>
      <c r="AY146" s="3" t="s">
        <v>76</v>
      </c>
    </row>
    <row r="147" spans="1:51" ht="140">
      <c r="A147" t="s">
        <v>641</v>
      </c>
      <c r="B147" t="s">
        <v>642</v>
      </c>
      <c r="C147" t="s">
        <v>599</v>
      </c>
      <c r="D147" t="s">
        <v>390</v>
      </c>
      <c r="E147" t="s">
        <v>94</v>
      </c>
      <c r="F147" s="4">
        <v>36.990720000000003</v>
      </c>
      <c r="G147" s="4">
        <v>26.947620000000001</v>
      </c>
      <c r="H147" s="5">
        <v>4</v>
      </c>
      <c r="I147" t="s">
        <v>95</v>
      </c>
      <c r="J147" t="s">
        <v>71</v>
      </c>
      <c r="K147" t="s">
        <v>57</v>
      </c>
      <c r="L147" t="s">
        <v>57</v>
      </c>
      <c r="M147" t="s">
        <v>56</v>
      </c>
      <c r="N147" t="s">
        <v>57</v>
      </c>
      <c r="O147" t="s">
        <v>57</v>
      </c>
      <c r="P147" t="s">
        <v>71</v>
      </c>
      <c r="Q147" s="5"/>
      <c r="R147" s="5"/>
      <c r="S147" t="s">
        <v>180</v>
      </c>
      <c r="T147" t="s">
        <v>57</v>
      </c>
      <c r="U147" t="s">
        <v>97</v>
      </c>
      <c r="V147" t="s">
        <v>98</v>
      </c>
      <c r="W147" s="10"/>
      <c r="X147" t="s">
        <v>98</v>
      </c>
      <c r="Y147" t="s">
        <v>98</v>
      </c>
      <c r="Z147" t="s">
        <v>98</v>
      </c>
      <c r="AA147" t="s">
        <v>98</v>
      </c>
      <c r="AB147" t="s">
        <v>98</v>
      </c>
      <c r="AC147" t="s">
        <v>98</v>
      </c>
      <c r="AD147" t="s">
        <v>98</v>
      </c>
      <c r="AE147" t="s">
        <v>98</v>
      </c>
      <c r="AF147" t="s">
        <v>63</v>
      </c>
      <c r="AG147" t="s">
        <v>63</v>
      </c>
      <c r="AH147" s="3" t="s">
        <v>643</v>
      </c>
      <c r="AI147" s="3" t="s">
        <v>644</v>
      </c>
      <c r="AJ147" s="3" t="s">
        <v>65</v>
      </c>
      <c r="AK147" s="3" t="s">
        <v>62</v>
      </c>
      <c r="AL147" s="3" t="s">
        <v>62</v>
      </c>
      <c r="AM147" s="3" t="s">
        <v>85</v>
      </c>
      <c r="AN147" s="3" t="s">
        <v>67</v>
      </c>
      <c r="AO147" s="3" t="s">
        <v>86</v>
      </c>
      <c r="AP147" s="3" t="s">
        <v>87</v>
      </c>
      <c r="AQ147" s="3">
        <v>46213</v>
      </c>
      <c r="AR147" s="3" t="s">
        <v>88</v>
      </c>
      <c r="AS147" s="3" t="s">
        <v>95</v>
      </c>
      <c r="AT147" s="3" t="s">
        <v>100</v>
      </c>
      <c r="AU147" s="3" t="s">
        <v>73</v>
      </c>
      <c r="AV147" s="3" t="s">
        <v>95</v>
      </c>
      <c r="AW147" s="3" t="s">
        <v>101</v>
      </c>
      <c r="AX147" s="3" t="s">
        <v>75</v>
      </c>
      <c r="AY147" s="3" t="s">
        <v>76</v>
      </c>
    </row>
    <row r="148" spans="1:51" ht="140">
      <c r="A148" t="s">
        <v>645</v>
      </c>
      <c r="B148" t="s">
        <v>646</v>
      </c>
      <c r="C148" t="s">
        <v>647</v>
      </c>
      <c r="D148" t="s">
        <v>390</v>
      </c>
      <c r="E148" t="s">
        <v>55</v>
      </c>
      <c r="F148" s="4">
        <v>37.127000000000002</v>
      </c>
      <c r="G148" s="4">
        <v>26.85</v>
      </c>
      <c r="H148" s="5">
        <v>3.9</v>
      </c>
      <c r="I148" t="s">
        <v>57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s="5"/>
      <c r="R148" s="5"/>
      <c r="S148" t="s">
        <v>180</v>
      </c>
      <c r="T148" t="s">
        <v>59</v>
      </c>
      <c r="U148" t="s">
        <v>60</v>
      </c>
      <c r="W148" s="10"/>
      <c r="X148" t="s">
        <v>62</v>
      </c>
      <c r="Y148" t="s">
        <v>62</v>
      </c>
      <c r="Z148" t="s">
        <v>62</v>
      </c>
      <c r="AA148" t="s">
        <v>62</v>
      </c>
      <c r="AB148" t="s">
        <v>62</v>
      </c>
      <c r="AC148" t="s">
        <v>62</v>
      </c>
      <c r="AD148" t="s">
        <v>62</v>
      </c>
      <c r="AE148" t="s">
        <v>62</v>
      </c>
      <c r="AH148" s="3" t="s">
        <v>648</v>
      </c>
      <c r="AI148" s="3" t="s">
        <v>649</v>
      </c>
      <c r="AJ148" s="3" t="s">
        <v>341</v>
      </c>
      <c r="AK148" s="3" t="s">
        <v>62</v>
      </c>
      <c r="AL148" s="3" t="s">
        <v>62</v>
      </c>
      <c r="AM148" s="3" t="s">
        <v>66</v>
      </c>
      <c r="AN148" s="3" t="s">
        <v>67</v>
      </c>
      <c r="AO148" s="3" t="s">
        <v>68</v>
      </c>
      <c r="AP148" s="3" t="s">
        <v>69</v>
      </c>
      <c r="AQ148" s="3">
        <v>46213</v>
      </c>
      <c r="AR148" s="3" t="s">
        <v>70</v>
      </c>
      <c r="AS148" s="3" t="s">
        <v>71</v>
      </c>
      <c r="AT148" s="3" t="s">
        <v>72</v>
      </c>
      <c r="AU148" s="3" t="s">
        <v>73</v>
      </c>
      <c r="AV148" s="3" t="s">
        <v>71</v>
      </c>
      <c r="AW148" s="3" t="s">
        <v>74</v>
      </c>
      <c r="AX148" s="3" t="s">
        <v>75</v>
      </c>
      <c r="AY148" s="3" t="s">
        <v>76</v>
      </c>
    </row>
    <row r="149" spans="1:51" ht="140">
      <c r="A149" t="s">
        <v>650</v>
      </c>
      <c r="B149" t="s">
        <v>651</v>
      </c>
      <c r="C149" t="s">
        <v>647</v>
      </c>
      <c r="D149" t="s">
        <v>390</v>
      </c>
      <c r="E149" t="s">
        <v>79</v>
      </c>
      <c r="F149" s="4">
        <v>37.15</v>
      </c>
      <c r="G149" s="4">
        <v>26.862549999999999</v>
      </c>
      <c r="H149" s="5">
        <v>3.2</v>
      </c>
      <c r="I149" t="s">
        <v>71</v>
      </c>
      <c r="J149" t="s">
        <v>71</v>
      </c>
      <c r="K149" t="s">
        <v>57</v>
      </c>
      <c r="L149" t="s">
        <v>57</v>
      </c>
      <c r="M149" t="s">
        <v>57</v>
      </c>
      <c r="N149" t="s">
        <v>57</v>
      </c>
      <c r="O149" t="s">
        <v>57</v>
      </c>
      <c r="P149" t="s">
        <v>71</v>
      </c>
      <c r="Q149" s="5"/>
      <c r="R149" s="5"/>
      <c r="S149" t="s">
        <v>58</v>
      </c>
      <c r="T149" t="s">
        <v>81</v>
      </c>
      <c r="U149" t="s">
        <v>175</v>
      </c>
      <c r="W149" s="10"/>
      <c r="X149" t="s">
        <v>62</v>
      </c>
      <c r="Y149" t="s">
        <v>62</v>
      </c>
      <c r="Z149" t="s">
        <v>62</v>
      </c>
      <c r="AA149" t="s">
        <v>62</v>
      </c>
      <c r="AB149" t="s">
        <v>62</v>
      </c>
      <c r="AC149" t="s">
        <v>62</v>
      </c>
      <c r="AD149" t="s">
        <v>62</v>
      </c>
      <c r="AE149" t="s">
        <v>62</v>
      </c>
      <c r="AH149" s="3" t="s">
        <v>652</v>
      </c>
      <c r="AI149" s="3" t="s">
        <v>653</v>
      </c>
      <c r="AJ149" s="3" t="s">
        <v>341</v>
      </c>
      <c r="AK149" s="3" t="s">
        <v>62</v>
      </c>
      <c r="AL149" s="3" t="s">
        <v>62</v>
      </c>
      <c r="AM149" s="3" t="s">
        <v>85</v>
      </c>
      <c r="AN149" s="3" t="s">
        <v>67</v>
      </c>
      <c r="AO149" s="3" t="s">
        <v>86</v>
      </c>
      <c r="AP149" s="3" t="s">
        <v>87</v>
      </c>
      <c r="AQ149" s="3">
        <v>46213</v>
      </c>
      <c r="AR149" s="3" t="s">
        <v>88</v>
      </c>
      <c r="AS149" s="3" t="s">
        <v>89</v>
      </c>
      <c r="AT149" s="3" t="s">
        <v>90</v>
      </c>
      <c r="AU149" s="3" t="s">
        <v>73</v>
      </c>
      <c r="AV149" s="3" t="s">
        <v>89</v>
      </c>
      <c r="AW149" s="3" t="s">
        <v>91</v>
      </c>
      <c r="AX149" s="3" t="s">
        <v>75</v>
      </c>
      <c r="AY149" s="3" t="s">
        <v>76</v>
      </c>
    </row>
    <row r="150" spans="1:51" ht="140">
      <c r="A150" t="s">
        <v>654</v>
      </c>
      <c r="B150" t="s">
        <v>655</v>
      </c>
      <c r="C150" t="s">
        <v>647</v>
      </c>
      <c r="D150" t="s">
        <v>390</v>
      </c>
      <c r="E150" t="s">
        <v>94</v>
      </c>
      <c r="F150" s="4">
        <v>37.15</v>
      </c>
      <c r="G150" s="4">
        <v>26.858000000000001</v>
      </c>
      <c r="H150" s="5">
        <v>3.6</v>
      </c>
      <c r="I150" t="s">
        <v>95</v>
      </c>
      <c r="J150" t="s">
        <v>71</v>
      </c>
      <c r="K150" t="s">
        <v>57</v>
      </c>
      <c r="L150" t="s">
        <v>57</v>
      </c>
      <c r="M150" t="s">
        <v>56</v>
      </c>
      <c r="N150" t="s">
        <v>57</v>
      </c>
      <c r="O150" t="s">
        <v>57</v>
      </c>
      <c r="P150" t="s">
        <v>71</v>
      </c>
      <c r="Q150" s="5"/>
      <c r="R150" s="5"/>
      <c r="S150" t="s">
        <v>180</v>
      </c>
      <c r="T150" t="s">
        <v>57</v>
      </c>
      <c r="U150" t="s">
        <v>97</v>
      </c>
      <c r="W150" s="10"/>
      <c r="X150" t="s">
        <v>98</v>
      </c>
      <c r="Y150" t="s">
        <v>98</v>
      </c>
      <c r="Z150" t="s">
        <v>98</v>
      </c>
      <c r="AA150" t="s">
        <v>98</v>
      </c>
      <c r="AB150" t="s">
        <v>98</v>
      </c>
      <c r="AC150" t="s">
        <v>98</v>
      </c>
      <c r="AD150" t="s">
        <v>98</v>
      </c>
      <c r="AE150" t="s">
        <v>98</v>
      </c>
      <c r="AH150" s="3" t="s">
        <v>656</v>
      </c>
      <c r="AI150" s="3" t="s">
        <v>657</v>
      </c>
      <c r="AJ150" s="3" t="s">
        <v>65</v>
      </c>
      <c r="AK150" s="3" t="s">
        <v>62</v>
      </c>
      <c r="AL150" s="3" t="s">
        <v>62</v>
      </c>
      <c r="AM150" s="3" t="s">
        <v>66</v>
      </c>
      <c r="AN150" s="3" t="s">
        <v>67</v>
      </c>
      <c r="AO150" s="3" t="s">
        <v>68</v>
      </c>
      <c r="AP150" s="3" t="s">
        <v>69</v>
      </c>
      <c r="AQ150" s="3">
        <v>46213</v>
      </c>
      <c r="AR150" s="3" t="s">
        <v>70</v>
      </c>
      <c r="AS150" s="3" t="s">
        <v>95</v>
      </c>
      <c r="AT150" s="3" t="s">
        <v>100</v>
      </c>
      <c r="AU150" s="3" t="s">
        <v>73</v>
      </c>
      <c r="AV150" s="3" t="s">
        <v>95</v>
      </c>
      <c r="AW150" s="3" t="s">
        <v>101</v>
      </c>
      <c r="AX150" s="3" t="s">
        <v>75</v>
      </c>
      <c r="AY150" s="3" t="s">
        <v>76</v>
      </c>
    </row>
    <row r="151" spans="1:51" ht="140">
      <c r="A151" t="s">
        <v>658</v>
      </c>
      <c r="B151" t="s">
        <v>659</v>
      </c>
      <c r="C151" t="s">
        <v>647</v>
      </c>
      <c r="D151" t="s">
        <v>390</v>
      </c>
      <c r="E151" t="s">
        <v>94</v>
      </c>
      <c r="F151" s="4">
        <v>37.156759999999998</v>
      </c>
      <c r="G151" s="4">
        <v>26.84075</v>
      </c>
      <c r="H151" s="5">
        <v>4</v>
      </c>
      <c r="I151" t="s">
        <v>95</v>
      </c>
      <c r="J151" t="s">
        <v>71</v>
      </c>
      <c r="K151" t="s">
        <v>71</v>
      </c>
      <c r="L151" t="s">
        <v>57</v>
      </c>
      <c r="M151" t="s">
        <v>56</v>
      </c>
      <c r="N151" t="s">
        <v>57</v>
      </c>
      <c r="O151" t="s">
        <v>57</v>
      </c>
      <c r="P151" t="s">
        <v>71</v>
      </c>
      <c r="Q151" s="5"/>
      <c r="R151" s="5"/>
      <c r="S151" t="s">
        <v>180</v>
      </c>
      <c r="T151" t="s">
        <v>57</v>
      </c>
      <c r="U151" t="s">
        <v>97</v>
      </c>
      <c r="W151" s="10"/>
      <c r="X151" t="s">
        <v>98</v>
      </c>
      <c r="Y151" t="s">
        <v>98</v>
      </c>
      <c r="Z151" t="s">
        <v>98</v>
      </c>
      <c r="AA151" t="s">
        <v>98</v>
      </c>
      <c r="AB151" t="s">
        <v>98</v>
      </c>
      <c r="AC151" t="s">
        <v>98</v>
      </c>
      <c r="AD151" t="s">
        <v>98</v>
      </c>
      <c r="AE151" t="s">
        <v>98</v>
      </c>
      <c r="AH151" s="3" t="s">
        <v>660</v>
      </c>
      <c r="AI151" s="3" t="s">
        <v>661</v>
      </c>
      <c r="AJ151" s="3" t="s">
        <v>65</v>
      </c>
      <c r="AK151" s="3" t="s">
        <v>62</v>
      </c>
      <c r="AL151" s="3" t="s">
        <v>62</v>
      </c>
      <c r="AM151" s="3" t="s">
        <v>85</v>
      </c>
      <c r="AN151" s="3" t="s">
        <v>67</v>
      </c>
      <c r="AO151" s="3" t="s">
        <v>86</v>
      </c>
      <c r="AP151" s="3" t="s">
        <v>87</v>
      </c>
      <c r="AQ151" s="3">
        <v>46213</v>
      </c>
      <c r="AR151" s="3" t="s">
        <v>88</v>
      </c>
      <c r="AS151" s="3" t="s">
        <v>95</v>
      </c>
      <c r="AT151" s="3" t="s">
        <v>100</v>
      </c>
      <c r="AU151" s="3" t="s">
        <v>73</v>
      </c>
      <c r="AV151" s="3" t="s">
        <v>95</v>
      </c>
      <c r="AW151" s="3" t="s">
        <v>101</v>
      </c>
      <c r="AX151" s="3" t="s">
        <v>75</v>
      </c>
      <c r="AY151" s="3" t="s">
        <v>76</v>
      </c>
    </row>
    <row r="152" spans="1:51" ht="140">
      <c r="A152" t="s">
        <v>662</v>
      </c>
      <c r="B152" t="s">
        <v>663</v>
      </c>
      <c r="C152" t="s">
        <v>647</v>
      </c>
      <c r="D152" t="s">
        <v>390</v>
      </c>
      <c r="E152" t="s">
        <v>94</v>
      </c>
      <c r="F152" s="4">
        <v>37.140039999999999</v>
      </c>
      <c r="G152" s="4">
        <v>26.851089999999999</v>
      </c>
      <c r="H152" s="5">
        <v>4.0999999999999996</v>
      </c>
      <c r="I152" t="s">
        <v>95</v>
      </c>
      <c r="J152" t="s">
        <v>71</v>
      </c>
      <c r="K152" t="s">
        <v>71</v>
      </c>
      <c r="L152" t="s">
        <v>57</v>
      </c>
      <c r="M152" t="s">
        <v>56</v>
      </c>
      <c r="N152" t="s">
        <v>57</v>
      </c>
      <c r="O152" t="s">
        <v>57</v>
      </c>
      <c r="P152" t="s">
        <v>71</v>
      </c>
      <c r="Q152" s="5"/>
      <c r="R152" s="5"/>
      <c r="S152" t="s">
        <v>405</v>
      </c>
      <c r="T152" t="s">
        <v>114</v>
      </c>
      <c r="U152" t="s">
        <v>104</v>
      </c>
      <c r="W152" s="10"/>
      <c r="X152" t="s">
        <v>98</v>
      </c>
      <c r="Y152" t="s">
        <v>98</v>
      </c>
      <c r="Z152" t="s">
        <v>98</v>
      </c>
      <c r="AA152" t="s">
        <v>98</v>
      </c>
      <c r="AB152" t="s">
        <v>98</v>
      </c>
      <c r="AC152" t="s">
        <v>98</v>
      </c>
      <c r="AD152" t="s">
        <v>98</v>
      </c>
      <c r="AE152" t="s">
        <v>98</v>
      </c>
      <c r="AH152" s="3" t="s">
        <v>664</v>
      </c>
      <c r="AI152" s="3" t="s">
        <v>665</v>
      </c>
      <c r="AJ152" s="3" t="s">
        <v>65</v>
      </c>
      <c r="AK152" s="3" t="s">
        <v>62</v>
      </c>
      <c r="AL152" s="3" t="s">
        <v>62</v>
      </c>
      <c r="AM152" s="3" t="s">
        <v>85</v>
      </c>
      <c r="AN152" s="3" t="s">
        <v>67</v>
      </c>
      <c r="AO152" s="3" t="s">
        <v>86</v>
      </c>
      <c r="AP152" s="3" t="s">
        <v>87</v>
      </c>
      <c r="AQ152" s="3">
        <v>46213</v>
      </c>
      <c r="AR152" s="3" t="s">
        <v>88</v>
      </c>
      <c r="AS152" s="3" t="s">
        <v>95</v>
      </c>
      <c r="AT152" s="3" t="s">
        <v>100</v>
      </c>
      <c r="AU152" s="3" t="s">
        <v>73</v>
      </c>
      <c r="AV152" s="3" t="s">
        <v>95</v>
      </c>
      <c r="AW152" s="3" t="s">
        <v>101</v>
      </c>
      <c r="AX152" s="3" t="s">
        <v>75</v>
      </c>
      <c r="AY152" s="3" t="s">
        <v>76</v>
      </c>
    </row>
    <row r="153" spans="1:51" ht="140">
      <c r="A153" t="s">
        <v>666</v>
      </c>
      <c r="B153" t="s">
        <v>667</v>
      </c>
      <c r="C153" t="s">
        <v>647</v>
      </c>
      <c r="D153" t="s">
        <v>390</v>
      </c>
      <c r="E153" t="s">
        <v>55</v>
      </c>
      <c r="F153" s="4">
        <v>37.162689999999998</v>
      </c>
      <c r="G153" s="4">
        <v>26.862220000000001</v>
      </c>
      <c r="H153" s="5">
        <v>3.6</v>
      </c>
      <c r="I153" t="s">
        <v>57</v>
      </c>
      <c r="J153" t="s">
        <v>56</v>
      </c>
      <c r="K153" t="s">
        <v>56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s="5"/>
      <c r="R153" s="5"/>
      <c r="S153" t="s">
        <v>140</v>
      </c>
      <c r="T153" t="s">
        <v>59</v>
      </c>
      <c r="U153" t="s">
        <v>60</v>
      </c>
      <c r="W153" s="10"/>
      <c r="X153" t="s">
        <v>62</v>
      </c>
      <c r="Y153" t="s">
        <v>62</v>
      </c>
      <c r="Z153" t="s">
        <v>62</v>
      </c>
      <c r="AA153" t="s">
        <v>62</v>
      </c>
      <c r="AB153" t="s">
        <v>62</v>
      </c>
      <c r="AC153" t="s">
        <v>62</v>
      </c>
      <c r="AD153" t="s">
        <v>62</v>
      </c>
      <c r="AE153" t="s">
        <v>62</v>
      </c>
      <c r="AH153" s="3" t="s">
        <v>668</v>
      </c>
      <c r="AI153" s="3" t="s">
        <v>669</v>
      </c>
      <c r="AJ153" s="3" t="s">
        <v>341</v>
      </c>
      <c r="AK153" s="3" t="s">
        <v>62</v>
      </c>
      <c r="AL153" s="3" t="s">
        <v>62</v>
      </c>
      <c r="AM153" s="3" t="s">
        <v>85</v>
      </c>
      <c r="AN153" s="3" t="s">
        <v>67</v>
      </c>
      <c r="AO153" s="3" t="s">
        <v>86</v>
      </c>
      <c r="AP153" s="3" t="s">
        <v>87</v>
      </c>
      <c r="AQ153" s="3">
        <v>46213</v>
      </c>
      <c r="AR153" s="3" t="s">
        <v>88</v>
      </c>
      <c r="AS153" s="3" t="s">
        <v>71</v>
      </c>
      <c r="AT153" s="3" t="s">
        <v>72</v>
      </c>
      <c r="AU153" s="3" t="s">
        <v>73</v>
      </c>
      <c r="AV153" s="3" t="s">
        <v>71</v>
      </c>
      <c r="AW153" s="3" t="s">
        <v>74</v>
      </c>
      <c r="AX153" s="3" t="s">
        <v>75</v>
      </c>
      <c r="AY153" s="3" t="s">
        <v>76</v>
      </c>
    </row>
    <row r="154" spans="1:51" ht="140">
      <c r="A154" t="s">
        <v>670</v>
      </c>
      <c r="B154" t="s">
        <v>671</v>
      </c>
      <c r="C154" t="s">
        <v>647</v>
      </c>
      <c r="D154" t="s">
        <v>390</v>
      </c>
      <c r="E154" t="s">
        <v>94</v>
      </c>
      <c r="F154" s="4">
        <v>37.147219999999997</v>
      </c>
      <c r="G154" s="4">
        <v>26.83023</v>
      </c>
      <c r="H154" s="5">
        <v>3.9</v>
      </c>
      <c r="I154" t="s">
        <v>95</v>
      </c>
      <c r="J154" t="s">
        <v>71</v>
      </c>
      <c r="K154" t="s">
        <v>71</v>
      </c>
      <c r="L154" t="s">
        <v>57</v>
      </c>
      <c r="M154" t="s">
        <v>56</v>
      </c>
      <c r="N154" t="s">
        <v>57</v>
      </c>
      <c r="O154" t="s">
        <v>57</v>
      </c>
      <c r="P154" t="s">
        <v>71</v>
      </c>
      <c r="Q154" s="5"/>
      <c r="R154" s="5"/>
      <c r="S154" t="s">
        <v>96</v>
      </c>
      <c r="T154" t="s">
        <v>57</v>
      </c>
      <c r="U154" t="s">
        <v>122</v>
      </c>
      <c r="W154" s="10"/>
      <c r="X154" t="s">
        <v>98</v>
      </c>
      <c r="Y154" t="s">
        <v>98</v>
      </c>
      <c r="Z154" t="s">
        <v>98</v>
      </c>
      <c r="AA154" t="s">
        <v>98</v>
      </c>
      <c r="AB154" t="s">
        <v>98</v>
      </c>
      <c r="AC154" t="s">
        <v>98</v>
      </c>
      <c r="AD154" t="s">
        <v>98</v>
      </c>
      <c r="AE154" t="s">
        <v>98</v>
      </c>
      <c r="AH154" s="3" t="s">
        <v>672</v>
      </c>
      <c r="AI154" s="3" t="s">
        <v>673</v>
      </c>
      <c r="AJ154" s="3" t="s">
        <v>65</v>
      </c>
      <c r="AK154" s="3" t="s">
        <v>62</v>
      </c>
      <c r="AL154" s="3" t="s">
        <v>62</v>
      </c>
      <c r="AM154" s="3" t="s">
        <v>85</v>
      </c>
      <c r="AN154" s="3" t="s">
        <v>67</v>
      </c>
      <c r="AO154" s="3" t="s">
        <v>86</v>
      </c>
      <c r="AP154" s="3" t="s">
        <v>87</v>
      </c>
      <c r="AQ154" s="3">
        <v>46213</v>
      </c>
      <c r="AR154" s="3" t="s">
        <v>88</v>
      </c>
      <c r="AS154" s="3" t="s">
        <v>95</v>
      </c>
      <c r="AT154" s="3" t="s">
        <v>100</v>
      </c>
      <c r="AU154" s="3" t="s">
        <v>73</v>
      </c>
      <c r="AV154" s="3" t="s">
        <v>95</v>
      </c>
      <c r="AW154" s="3" t="s">
        <v>101</v>
      </c>
      <c r="AX154" s="3" t="s">
        <v>75</v>
      </c>
      <c r="AY154" s="3" t="s">
        <v>76</v>
      </c>
    </row>
    <row r="155" spans="1:51" ht="140">
      <c r="A155" t="s">
        <v>674</v>
      </c>
      <c r="B155" t="s">
        <v>675</v>
      </c>
      <c r="C155" t="s">
        <v>647</v>
      </c>
      <c r="D155" t="s">
        <v>390</v>
      </c>
      <c r="E155" t="s">
        <v>94</v>
      </c>
      <c r="F155" s="4">
        <v>37.141399999999997</v>
      </c>
      <c r="G155" s="4">
        <v>26.86693</v>
      </c>
      <c r="H155" s="5">
        <v>3.5</v>
      </c>
      <c r="I155" t="s">
        <v>95</v>
      </c>
      <c r="J155" t="s">
        <v>71</v>
      </c>
      <c r="K155" t="s">
        <v>57</v>
      </c>
      <c r="L155" t="s">
        <v>57</v>
      </c>
      <c r="M155" t="s">
        <v>56</v>
      </c>
      <c r="N155" t="s">
        <v>57</v>
      </c>
      <c r="O155" t="s">
        <v>57</v>
      </c>
      <c r="P155" t="s">
        <v>71</v>
      </c>
      <c r="Q155" s="5"/>
      <c r="R155" s="5"/>
      <c r="S155" t="s">
        <v>113</v>
      </c>
      <c r="T155" t="s">
        <v>114</v>
      </c>
      <c r="U155" t="s">
        <v>115</v>
      </c>
      <c r="W155" s="10"/>
      <c r="X155" t="s">
        <v>98</v>
      </c>
      <c r="Y155" t="s">
        <v>98</v>
      </c>
      <c r="Z155" t="s">
        <v>98</v>
      </c>
      <c r="AA155" t="s">
        <v>98</v>
      </c>
      <c r="AB155" t="s">
        <v>98</v>
      </c>
      <c r="AC155" t="s">
        <v>98</v>
      </c>
      <c r="AD155" t="s">
        <v>98</v>
      </c>
      <c r="AE155" t="s">
        <v>98</v>
      </c>
      <c r="AH155" s="3" t="s">
        <v>676</v>
      </c>
      <c r="AI155" s="3" t="s">
        <v>677</v>
      </c>
      <c r="AJ155" s="3" t="s">
        <v>65</v>
      </c>
      <c r="AK155" s="3" t="s">
        <v>62</v>
      </c>
      <c r="AL155" s="3" t="s">
        <v>62</v>
      </c>
      <c r="AM155" s="3" t="s">
        <v>85</v>
      </c>
      <c r="AN155" s="3" t="s">
        <v>67</v>
      </c>
      <c r="AO155" s="3" t="s">
        <v>86</v>
      </c>
      <c r="AP155" s="3" t="s">
        <v>87</v>
      </c>
      <c r="AQ155" s="3">
        <v>46213</v>
      </c>
      <c r="AR155" s="3" t="s">
        <v>88</v>
      </c>
      <c r="AS155" s="3" t="s">
        <v>95</v>
      </c>
      <c r="AT155" s="3" t="s">
        <v>100</v>
      </c>
      <c r="AU155" s="3" t="s">
        <v>73</v>
      </c>
      <c r="AV155" s="3" t="s">
        <v>95</v>
      </c>
      <c r="AW155" s="3" t="s">
        <v>101</v>
      </c>
      <c r="AX155" s="3" t="s">
        <v>75</v>
      </c>
      <c r="AY155" s="3" t="s">
        <v>76</v>
      </c>
    </row>
    <row r="156" spans="1:51" ht="140">
      <c r="A156" t="s">
        <v>678</v>
      </c>
      <c r="B156" t="s">
        <v>679</v>
      </c>
      <c r="C156" t="s">
        <v>647</v>
      </c>
      <c r="D156" t="s">
        <v>390</v>
      </c>
      <c r="E156" t="s">
        <v>94</v>
      </c>
      <c r="F156" s="4">
        <v>37.171250000000001</v>
      </c>
      <c r="G156" s="4">
        <v>26.842860000000002</v>
      </c>
      <c r="H156" s="5">
        <v>3.5</v>
      </c>
      <c r="I156" t="s">
        <v>95</v>
      </c>
      <c r="J156" t="s">
        <v>71</v>
      </c>
      <c r="K156" t="s">
        <v>71</v>
      </c>
      <c r="L156" t="s">
        <v>57</v>
      </c>
      <c r="M156" t="s">
        <v>56</v>
      </c>
      <c r="N156" t="s">
        <v>57</v>
      </c>
      <c r="O156" t="s">
        <v>57</v>
      </c>
      <c r="P156" t="s">
        <v>71</v>
      </c>
      <c r="Q156" s="5"/>
      <c r="R156" s="5"/>
      <c r="S156" t="s">
        <v>96</v>
      </c>
      <c r="T156" t="s">
        <v>57</v>
      </c>
      <c r="U156" t="s">
        <v>122</v>
      </c>
      <c r="W156" s="10"/>
      <c r="X156" t="s">
        <v>98</v>
      </c>
      <c r="Y156" t="s">
        <v>98</v>
      </c>
      <c r="Z156" t="s">
        <v>98</v>
      </c>
      <c r="AA156" t="s">
        <v>98</v>
      </c>
      <c r="AB156" t="s">
        <v>98</v>
      </c>
      <c r="AC156" t="s">
        <v>98</v>
      </c>
      <c r="AD156" t="s">
        <v>98</v>
      </c>
      <c r="AE156" t="s">
        <v>98</v>
      </c>
      <c r="AH156" s="3" t="s">
        <v>680</v>
      </c>
      <c r="AI156" s="3" t="s">
        <v>681</v>
      </c>
      <c r="AJ156" s="3" t="s">
        <v>65</v>
      </c>
      <c r="AK156" s="3" t="s">
        <v>62</v>
      </c>
      <c r="AL156" s="3" t="s">
        <v>62</v>
      </c>
      <c r="AM156" s="3" t="s">
        <v>85</v>
      </c>
      <c r="AN156" s="3" t="s">
        <v>67</v>
      </c>
      <c r="AO156" s="3" t="s">
        <v>86</v>
      </c>
      <c r="AP156" s="3" t="s">
        <v>87</v>
      </c>
      <c r="AQ156" s="3">
        <v>46213</v>
      </c>
      <c r="AR156" s="3" t="s">
        <v>88</v>
      </c>
      <c r="AS156" s="3" t="s">
        <v>95</v>
      </c>
      <c r="AT156" s="3" t="s">
        <v>100</v>
      </c>
      <c r="AU156" s="3" t="s">
        <v>73</v>
      </c>
      <c r="AV156" s="3" t="s">
        <v>95</v>
      </c>
      <c r="AW156" s="3" t="s">
        <v>101</v>
      </c>
      <c r="AX156" s="3" t="s">
        <v>75</v>
      </c>
      <c r="AY156" s="3" t="s">
        <v>76</v>
      </c>
    </row>
    <row r="157" spans="1:51" ht="140">
      <c r="A157" t="s">
        <v>682</v>
      </c>
      <c r="B157" t="s">
        <v>683</v>
      </c>
      <c r="C157" t="s">
        <v>647</v>
      </c>
      <c r="D157" t="s">
        <v>390</v>
      </c>
      <c r="E157" t="s">
        <v>94</v>
      </c>
      <c r="F157" s="4">
        <v>37.130490000000002</v>
      </c>
      <c r="G157" s="4">
        <v>26.837260000000001</v>
      </c>
      <c r="H157" s="5">
        <v>4.2</v>
      </c>
      <c r="I157" t="s">
        <v>95</v>
      </c>
      <c r="J157" t="s">
        <v>71</v>
      </c>
      <c r="K157" t="s">
        <v>57</v>
      </c>
      <c r="L157" t="s">
        <v>57</v>
      </c>
      <c r="M157" t="s">
        <v>56</v>
      </c>
      <c r="N157" t="s">
        <v>57</v>
      </c>
      <c r="O157" t="s">
        <v>57</v>
      </c>
      <c r="P157" t="s">
        <v>71</v>
      </c>
      <c r="Q157" s="5"/>
      <c r="R157" s="5"/>
      <c r="S157" t="s">
        <v>180</v>
      </c>
      <c r="T157" t="s">
        <v>57</v>
      </c>
      <c r="U157" t="s">
        <v>97</v>
      </c>
      <c r="W157" s="10"/>
      <c r="X157" t="s">
        <v>98</v>
      </c>
      <c r="Y157" t="s">
        <v>98</v>
      </c>
      <c r="Z157" t="s">
        <v>98</v>
      </c>
      <c r="AA157" t="s">
        <v>98</v>
      </c>
      <c r="AB157" t="s">
        <v>98</v>
      </c>
      <c r="AC157" t="s">
        <v>98</v>
      </c>
      <c r="AD157" t="s">
        <v>98</v>
      </c>
      <c r="AE157" t="s">
        <v>98</v>
      </c>
      <c r="AH157" s="3" t="s">
        <v>684</v>
      </c>
      <c r="AI157" s="3" t="s">
        <v>685</v>
      </c>
      <c r="AJ157" s="3" t="s">
        <v>65</v>
      </c>
      <c r="AK157" s="3" t="s">
        <v>62</v>
      </c>
      <c r="AL157" s="3" t="s">
        <v>62</v>
      </c>
      <c r="AM157" s="3" t="s">
        <v>85</v>
      </c>
      <c r="AN157" s="3" t="s">
        <v>67</v>
      </c>
      <c r="AO157" s="3" t="s">
        <v>86</v>
      </c>
      <c r="AP157" s="3" t="s">
        <v>87</v>
      </c>
      <c r="AQ157" s="3">
        <v>46213</v>
      </c>
      <c r="AR157" s="3" t="s">
        <v>88</v>
      </c>
      <c r="AS157" s="3" t="s">
        <v>95</v>
      </c>
      <c r="AT157" s="3" t="s">
        <v>100</v>
      </c>
      <c r="AU157" s="3" t="s">
        <v>73</v>
      </c>
      <c r="AV157" s="3" t="s">
        <v>95</v>
      </c>
      <c r="AW157" s="3" t="s">
        <v>101</v>
      </c>
      <c r="AX157" s="3" t="s">
        <v>75</v>
      </c>
      <c r="AY157" s="3" t="s">
        <v>76</v>
      </c>
    </row>
    <row r="158" spans="1:51" ht="140">
      <c r="A158" t="s">
        <v>686</v>
      </c>
      <c r="B158" t="s">
        <v>687</v>
      </c>
      <c r="C158" t="s">
        <v>647</v>
      </c>
      <c r="D158" t="s">
        <v>390</v>
      </c>
      <c r="E158" t="s">
        <v>94</v>
      </c>
      <c r="F158" s="4">
        <v>37.157519999999998</v>
      </c>
      <c r="G158" s="4">
        <v>26.87594</v>
      </c>
      <c r="H158" s="5">
        <v>3.6</v>
      </c>
      <c r="I158" t="s">
        <v>95</v>
      </c>
      <c r="J158" t="s">
        <v>71</v>
      </c>
      <c r="K158" t="s">
        <v>57</v>
      </c>
      <c r="L158" t="s">
        <v>57</v>
      </c>
      <c r="M158" t="s">
        <v>56</v>
      </c>
      <c r="N158" t="s">
        <v>57</v>
      </c>
      <c r="O158" t="s">
        <v>57</v>
      </c>
      <c r="P158" t="s">
        <v>71</v>
      </c>
      <c r="Q158" s="5"/>
      <c r="R158" s="5"/>
      <c r="S158" t="s">
        <v>96</v>
      </c>
      <c r="T158" t="s">
        <v>57</v>
      </c>
      <c r="U158" t="s">
        <v>122</v>
      </c>
      <c r="W158" s="10"/>
      <c r="X158" t="s">
        <v>98</v>
      </c>
      <c r="Y158" t="s">
        <v>98</v>
      </c>
      <c r="Z158" t="s">
        <v>98</v>
      </c>
      <c r="AA158" t="s">
        <v>98</v>
      </c>
      <c r="AB158" t="s">
        <v>98</v>
      </c>
      <c r="AC158" t="s">
        <v>98</v>
      </c>
      <c r="AD158" t="s">
        <v>98</v>
      </c>
      <c r="AE158" t="s">
        <v>98</v>
      </c>
      <c r="AH158" s="3" t="s">
        <v>688</v>
      </c>
      <c r="AI158" s="3" t="s">
        <v>689</v>
      </c>
      <c r="AJ158" s="3" t="s">
        <v>65</v>
      </c>
      <c r="AK158" s="3" t="s">
        <v>62</v>
      </c>
      <c r="AL158" s="3" t="s">
        <v>62</v>
      </c>
      <c r="AM158" s="3" t="s">
        <v>85</v>
      </c>
      <c r="AN158" s="3" t="s">
        <v>67</v>
      </c>
      <c r="AO158" s="3" t="s">
        <v>86</v>
      </c>
      <c r="AP158" s="3" t="s">
        <v>87</v>
      </c>
      <c r="AQ158" s="3">
        <v>46213</v>
      </c>
      <c r="AR158" s="3" t="s">
        <v>88</v>
      </c>
      <c r="AS158" s="3" t="s">
        <v>95</v>
      </c>
      <c r="AT158" s="3" t="s">
        <v>100</v>
      </c>
      <c r="AU158" s="3" t="s">
        <v>73</v>
      </c>
      <c r="AV158" s="3" t="s">
        <v>95</v>
      </c>
      <c r="AW158" s="3" t="s">
        <v>101</v>
      </c>
      <c r="AX158" s="3" t="s">
        <v>75</v>
      </c>
      <c r="AY158" s="3" t="s">
        <v>76</v>
      </c>
    </row>
    <row r="159" spans="1:51" ht="140">
      <c r="A159" t="s">
        <v>690</v>
      </c>
      <c r="B159" t="s">
        <v>691</v>
      </c>
      <c r="C159" t="s">
        <v>647</v>
      </c>
      <c r="D159" t="s">
        <v>390</v>
      </c>
      <c r="E159" t="s">
        <v>94</v>
      </c>
      <c r="F159" s="4">
        <v>37.160719999999998</v>
      </c>
      <c r="G159" s="4">
        <v>26.817540000000001</v>
      </c>
      <c r="H159" s="5">
        <v>3.8</v>
      </c>
      <c r="I159" t="s">
        <v>95</v>
      </c>
      <c r="J159" t="s">
        <v>71</v>
      </c>
      <c r="K159" t="s">
        <v>57</v>
      </c>
      <c r="L159" t="s">
        <v>57</v>
      </c>
      <c r="M159" t="s">
        <v>56</v>
      </c>
      <c r="N159" t="s">
        <v>57</v>
      </c>
      <c r="O159" t="s">
        <v>57</v>
      </c>
      <c r="P159" t="s">
        <v>71</v>
      </c>
      <c r="Q159" s="5"/>
      <c r="R159" s="5"/>
      <c r="S159" t="s">
        <v>96</v>
      </c>
      <c r="T159" t="s">
        <v>57</v>
      </c>
      <c r="U159" t="s">
        <v>122</v>
      </c>
      <c r="W159" s="10"/>
      <c r="X159" t="s">
        <v>98</v>
      </c>
      <c r="Y159" t="s">
        <v>98</v>
      </c>
      <c r="Z159" t="s">
        <v>98</v>
      </c>
      <c r="AA159" t="s">
        <v>98</v>
      </c>
      <c r="AB159" t="s">
        <v>98</v>
      </c>
      <c r="AC159" t="s">
        <v>98</v>
      </c>
      <c r="AD159" t="s">
        <v>98</v>
      </c>
      <c r="AE159" t="s">
        <v>98</v>
      </c>
      <c r="AH159" s="3" t="s">
        <v>692</v>
      </c>
      <c r="AI159" s="3" t="s">
        <v>693</v>
      </c>
      <c r="AJ159" s="3" t="s">
        <v>65</v>
      </c>
      <c r="AK159" s="3" t="s">
        <v>62</v>
      </c>
      <c r="AL159" s="3" t="s">
        <v>62</v>
      </c>
      <c r="AM159" s="3" t="s">
        <v>85</v>
      </c>
      <c r="AN159" s="3" t="s">
        <v>67</v>
      </c>
      <c r="AO159" s="3" t="s">
        <v>86</v>
      </c>
      <c r="AP159" s="3" t="s">
        <v>87</v>
      </c>
      <c r="AQ159" s="3">
        <v>46213</v>
      </c>
      <c r="AR159" s="3" t="s">
        <v>88</v>
      </c>
      <c r="AS159" s="3" t="s">
        <v>95</v>
      </c>
      <c r="AT159" s="3" t="s">
        <v>100</v>
      </c>
      <c r="AU159" s="3" t="s">
        <v>73</v>
      </c>
      <c r="AV159" s="3" t="s">
        <v>95</v>
      </c>
      <c r="AW159" s="3" t="s">
        <v>101</v>
      </c>
      <c r="AX159" s="3" t="s">
        <v>75</v>
      </c>
      <c r="AY159" s="3" t="s">
        <v>76</v>
      </c>
    </row>
    <row r="160" spans="1:51" ht="140">
      <c r="A160" t="s">
        <v>694</v>
      </c>
      <c r="B160" t="s">
        <v>695</v>
      </c>
      <c r="C160" t="s">
        <v>696</v>
      </c>
      <c r="D160" t="s">
        <v>390</v>
      </c>
      <c r="E160" t="s">
        <v>79</v>
      </c>
      <c r="F160" s="4">
        <v>37.326999999999998</v>
      </c>
      <c r="G160" s="4">
        <v>26.544</v>
      </c>
      <c r="H160" s="5">
        <v>3.4</v>
      </c>
      <c r="I160" t="s">
        <v>71</v>
      </c>
      <c r="J160" t="s">
        <v>71</v>
      </c>
      <c r="K160" t="s">
        <v>57</v>
      </c>
      <c r="L160" t="s">
        <v>57</v>
      </c>
      <c r="M160" t="s">
        <v>57</v>
      </c>
      <c r="N160" t="s">
        <v>57</v>
      </c>
      <c r="O160" t="s">
        <v>57</v>
      </c>
      <c r="P160" t="s">
        <v>71</v>
      </c>
      <c r="Q160" s="5"/>
      <c r="R160" s="5"/>
      <c r="S160" t="s">
        <v>108</v>
      </c>
      <c r="T160" t="s">
        <v>81</v>
      </c>
      <c r="U160" t="s">
        <v>109</v>
      </c>
      <c r="W160" s="10"/>
      <c r="X160" t="s">
        <v>62</v>
      </c>
      <c r="Y160" t="s">
        <v>62</v>
      </c>
      <c r="Z160" t="s">
        <v>62</v>
      </c>
      <c r="AA160" t="s">
        <v>62</v>
      </c>
      <c r="AB160" t="s">
        <v>62</v>
      </c>
      <c r="AC160" t="s">
        <v>62</v>
      </c>
      <c r="AD160" t="s">
        <v>62</v>
      </c>
      <c r="AE160" t="s">
        <v>62</v>
      </c>
      <c r="AH160" s="3" t="s">
        <v>697</v>
      </c>
      <c r="AI160" s="3" t="s">
        <v>698</v>
      </c>
      <c r="AJ160" s="3" t="s">
        <v>341</v>
      </c>
      <c r="AK160" s="3" t="s">
        <v>62</v>
      </c>
      <c r="AL160" s="3" t="s">
        <v>62</v>
      </c>
      <c r="AM160" s="3" t="s">
        <v>66</v>
      </c>
      <c r="AN160" s="3" t="s">
        <v>67</v>
      </c>
      <c r="AO160" s="3" t="s">
        <v>68</v>
      </c>
      <c r="AP160" s="3" t="s">
        <v>69</v>
      </c>
      <c r="AQ160" s="3">
        <v>46213</v>
      </c>
      <c r="AR160" s="3" t="s">
        <v>70</v>
      </c>
      <c r="AS160" s="3" t="s">
        <v>89</v>
      </c>
      <c r="AT160" s="3" t="s">
        <v>90</v>
      </c>
      <c r="AU160" s="3" t="s">
        <v>73</v>
      </c>
      <c r="AV160" s="3" t="s">
        <v>89</v>
      </c>
      <c r="AW160" s="3" t="s">
        <v>91</v>
      </c>
      <c r="AX160" s="3" t="s">
        <v>75</v>
      </c>
      <c r="AY160" s="3" t="s">
        <v>76</v>
      </c>
    </row>
    <row r="161" spans="1:51" ht="140">
      <c r="A161" t="s">
        <v>699</v>
      </c>
      <c r="B161" t="s">
        <v>700</v>
      </c>
      <c r="C161" t="s">
        <v>696</v>
      </c>
      <c r="D161" t="s">
        <v>390</v>
      </c>
      <c r="E161" t="s">
        <v>94</v>
      </c>
      <c r="F161" s="4">
        <v>37.299999999999997</v>
      </c>
      <c r="G161" s="4">
        <v>26.558</v>
      </c>
      <c r="H161" s="5">
        <v>3.5</v>
      </c>
      <c r="I161" t="s">
        <v>95</v>
      </c>
      <c r="J161" t="s">
        <v>71</v>
      </c>
      <c r="K161" t="s">
        <v>71</v>
      </c>
      <c r="L161" t="s">
        <v>57</v>
      </c>
      <c r="M161" t="s">
        <v>56</v>
      </c>
      <c r="N161" t="s">
        <v>57</v>
      </c>
      <c r="O161" t="s">
        <v>57</v>
      </c>
      <c r="P161" t="s">
        <v>71</v>
      </c>
      <c r="Q161" s="5"/>
      <c r="R161" s="5"/>
      <c r="S161" t="s">
        <v>96</v>
      </c>
      <c r="T161" t="s">
        <v>57</v>
      </c>
      <c r="U161" t="s">
        <v>122</v>
      </c>
      <c r="W161" s="10"/>
      <c r="X161" t="s">
        <v>98</v>
      </c>
      <c r="Y161" t="s">
        <v>98</v>
      </c>
      <c r="Z161" t="s">
        <v>98</v>
      </c>
      <c r="AA161" t="s">
        <v>98</v>
      </c>
      <c r="AB161" t="s">
        <v>98</v>
      </c>
      <c r="AC161" t="s">
        <v>98</v>
      </c>
      <c r="AD161" t="s">
        <v>98</v>
      </c>
      <c r="AE161" t="s">
        <v>98</v>
      </c>
      <c r="AH161" s="3" t="s">
        <v>701</v>
      </c>
      <c r="AI161" s="3" t="s">
        <v>702</v>
      </c>
      <c r="AJ161" s="3" t="s">
        <v>65</v>
      </c>
      <c r="AK161" s="3" t="s">
        <v>62</v>
      </c>
      <c r="AL161" s="3" t="s">
        <v>62</v>
      </c>
      <c r="AM161" s="3" t="s">
        <v>66</v>
      </c>
      <c r="AN161" s="3" t="s">
        <v>67</v>
      </c>
      <c r="AO161" s="3" t="s">
        <v>68</v>
      </c>
      <c r="AP161" s="3" t="s">
        <v>69</v>
      </c>
      <c r="AQ161" s="3">
        <v>46213</v>
      </c>
      <c r="AR161" s="3" t="s">
        <v>70</v>
      </c>
      <c r="AS161" s="3" t="s">
        <v>95</v>
      </c>
      <c r="AT161" s="3" t="s">
        <v>100</v>
      </c>
      <c r="AU161" s="3" t="s">
        <v>73</v>
      </c>
      <c r="AV161" s="3" t="s">
        <v>95</v>
      </c>
      <c r="AW161" s="3" t="s">
        <v>101</v>
      </c>
      <c r="AX161" s="3" t="s">
        <v>75</v>
      </c>
      <c r="AY161" s="3" t="s">
        <v>76</v>
      </c>
    </row>
    <row r="162" spans="1:51" ht="140">
      <c r="A162" t="s">
        <v>703</v>
      </c>
      <c r="B162" t="s">
        <v>704</v>
      </c>
      <c r="C162" t="s">
        <v>696</v>
      </c>
      <c r="D162" t="s">
        <v>390</v>
      </c>
      <c r="E162" t="s">
        <v>94</v>
      </c>
      <c r="F162" s="4">
        <v>37.31</v>
      </c>
      <c r="G162" s="4">
        <v>26.662569999999999</v>
      </c>
      <c r="H162" s="5">
        <v>4.2</v>
      </c>
      <c r="I162" t="s">
        <v>95</v>
      </c>
      <c r="J162" t="s">
        <v>71</v>
      </c>
      <c r="K162" t="s">
        <v>57</v>
      </c>
      <c r="L162" t="s">
        <v>57</v>
      </c>
      <c r="M162" t="s">
        <v>56</v>
      </c>
      <c r="N162" t="s">
        <v>57</v>
      </c>
      <c r="O162" t="s">
        <v>57</v>
      </c>
      <c r="P162" t="s">
        <v>71</v>
      </c>
      <c r="Q162" s="5"/>
      <c r="R162" s="5"/>
      <c r="S162" t="s">
        <v>405</v>
      </c>
      <c r="T162" t="s">
        <v>114</v>
      </c>
      <c r="U162" t="s">
        <v>104</v>
      </c>
      <c r="W162" s="10"/>
      <c r="X162" t="s">
        <v>98</v>
      </c>
      <c r="Y162" t="s">
        <v>98</v>
      </c>
      <c r="Z162" t="s">
        <v>98</v>
      </c>
      <c r="AA162" t="s">
        <v>98</v>
      </c>
      <c r="AB162" t="s">
        <v>98</v>
      </c>
      <c r="AC162" t="s">
        <v>98</v>
      </c>
      <c r="AD162" t="s">
        <v>98</v>
      </c>
      <c r="AE162" t="s">
        <v>98</v>
      </c>
      <c r="AH162" s="3" t="s">
        <v>705</v>
      </c>
      <c r="AI162" s="3" t="s">
        <v>706</v>
      </c>
      <c r="AJ162" s="3" t="s">
        <v>65</v>
      </c>
      <c r="AK162" s="3" t="s">
        <v>62</v>
      </c>
      <c r="AL162" s="3" t="s">
        <v>62</v>
      </c>
      <c r="AM162" s="3" t="s">
        <v>85</v>
      </c>
      <c r="AN162" s="3" t="s">
        <v>67</v>
      </c>
      <c r="AO162" s="3" t="s">
        <v>86</v>
      </c>
      <c r="AP162" s="3" t="s">
        <v>87</v>
      </c>
      <c r="AQ162" s="3">
        <v>46213</v>
      </c>
      <c r="AR162" s="3" t="s">
        <v>88</v>
      </c>
      <c r="AS162" s="3" t="s">
        <v>95</v>
      </c>
      <c r="AT162" s="3" t="s">
        <v>100</v>
      </c>
      <c r="AU162" s="3" t="s">
        <v>73</v>
      </c>
      <c r="AV162" s="3" t="s">
        <v>95</v>
      </c>
      <c r="AW162" s="3" t="s">
        <v>101</v>
      </c>
      <c r="AX162" s="3" t="s">
        <v>75</v>
      </c>
      <c r="AY162" s="3" t="s">
        <v>76</v>
      </c>
    </row>
    <row r="163" spans="1:51" ht="140">
      <c r="A163" t="s">
        <v>707</v>
      </c>
      <c r="B163" t="s">
        <v>708</v>
      </c>
      <c r="C163" t="s">
        <v>696</v>
      </c>
      <c r="D163" t="s">
        <v>390</v>
      </c>
      <c r="E163" t="s">
        <v>94</v>
      </c>
      <c r="F163" s="4">
        <v>37.316760000000002</v>
      </c>
      <c r="G163" s="4">
        <v>26.640730000000001</v>
      </c>
      <c r="H163" s="5">
        <v>3.4</v>
      </c>
      <c r="I163" t="s">
        <v>95</v>
      </c>
      <c r="J163" t="s">
        <v>71</v>
      </c>
      <c r="K163" t="s">
        <v>57</v>
      </c>
      <c r="L163" t="s">
        <v>57</v>
      </c>
      <c r="M163" t="s">
        <v>56</v>
      </c>
      <c r="N163" t="s">
        <v>57</v>
      </c>
      <c r="O163" t="s">
        <v>57</v>
      </c>
      <c r="P163" t="s">
        <v>71</v>
      </c>
      <c r="Q163" s="5"/>
      <c r="R163" s="5"/>
      <c r="S163" t="s">
        <v>113</v>
      </c>
      <c r="T163" t="s">
        <v>114</v>
      </c>
      <c r="U163" t="s">
        <v>115</v>
      </c>
      <c r="W163" s="10"/>
      <c r="X163" t="s">
        <v>98</v>
      </c>
      <c r="Y163" t="s">
        <v>98</v>
      </c>
      <c r="Z163" t="s">
        <v>98</v>
      </c>
      <c r="AA163" t="s">
        <v>98</v>
      </c>
      <c r="AB163" t="s">
        <v>98</v>
      </c>
      <c r="AC163" t="s">
        <v>98</v>
      </c>
      <c r="AD163" t="s">
        <v>98</v>
      </c>
      <c r="AE163" t="s">
        <v>98</v>
      </c>
      <c r="AH163" s="3" t="s">
        <v>709</v>
      </c>
      <c r="AI163" s="3" t="s">
        <v>710</v>
      </c>
      <c r="AJ163" s="3" t="s">
        <v>65</v>
      </c>
      <c r="AK163" s="3" t="s">
        <v>62</v>
      </c>
      <c r="AL163" s="3" t="s">
        <v>62</v>
      </c>
      <c r="AM163" s="3" t="s">
        <v>85</v>
      </c>
      <c r="AN163" s="3" t="s">
        <v>67</v>
      </c>
      <c r="AO163" s="3" t="s">
        <v>86</v>
      </c>
      <c r="AP163" s="3" t="s">
        <v>87</v>
      </c>
      <c r="AQ163" s="3">
        <v>46213</v>
      </c>
      <c r="AR163" s="3" t="s">
        <v>88</v>
      </c>
      <c r="AS163" s="3" t="s">
        <v>95</v>
      </c>
      <c r="AT163" s="3" t="s">
        <v>100</v>
      </c>
      <c r="AU163" s="3" t="s">
        <v>73</v>
      </c>
      <c r="AV163" s="3" t="s">
        <v>95</v>
      </c>
      <c r="AW163" s="3" t="s">
        <v>101</v>
      </c>
      <c r="AX163" s="3" t="s">
        <v>75</v>
      </c>
      <c r="AY163" s="3" t="s">
        <v>76</v>
      </c>
    </row>
    <row r="164" spans="1:51" ht="140">
      <c r="A164" t="s">
        <v>711</v>
      </c>
      <c r="B164" t="s">
        <v>712</v>
      </c>
      <c r="C164" t="s">
        <v>696</v>
      </c>
      <c r="D164" t="s">
        <v>390</v>
      </c>
      <c r="E164" t="s">
        <v>79</v>
      </c>
      <c r="F164" s="4">
        <v>37.300040000000003</v>
      </c>
      <c r="G164" s="4">
        <v>26.6511</v>
      </c>
      <c r="H164" s="5">
        <v>3.7</v>
      </c>
      <c r="I164" t="s">
        <v>71</v>
      </c>
      <c r="J164" t="s">
        <v>71</v>
      </c>
      <c r="K164" t="s">
        <v>57</v>
      </c>
      <c r="L164" t="s">
        <v>57</v>
      </c>
      <c r="M164" t="s">
        <v>57</v>
      </c>
      <c r="N164" t="s">
        <v>57</v>
      </c>
      <c r="O164" t="s">
        <v>57</v>
      </c>
      <c r="P164" t="s">
        <v>71</v>
      </c>
      <c r="Q164" s="5"/>
      <c r="R164" s="5"/>
      <c r="S164" t="s">
        <v>108</v>
      </c>
      <c r="T164" t="s">
        <v>81</v>
      </c>
      <c r="U164" t="s">
        <v>109</v>
      </c>
      <c r="W164" s="10"/>
      <c r="X164" t="s">
        <v>62</v>
      </c>
      <c r="Y164" t="s">
        <v>62</v>
      </c>
      <c r="Z164" t="s">
        <v>62</v>
      </c>
      <c r="AA164" t="s">
        <v>62</v>
      </c>
      <c r="AB164" t="s">
        <v>62</v>
      </c>
      <c r="AC164" t="s">
        <v>62</v>
      </c>
      <c r="AD164" t="s">
        <v>62</v>
      </c>
      <c r="AE164" t="s">
        <v>62</v>
      </c>
      <c r="AH164" s="3" t="s">
        <v>713</v>
      </c>
      <c r="AI164" s="3" t="s">
        <v>714</v>
      </c>
      <c r="AJ164" s="3" t="s">
        <v>341</v>
      </c>
      <c r="AK164" s="3" t="s">
        <v>62</v>
      </c>
      <c r="AL164" s="3" t="s">
        <v>62</v>
      </c>
      <c r="AM164" s="3" t="s">
        <v>85</v>
      </c>
      <c r="AN164" s="3" t="s">
        <v>67</v>
      </c>
      <c r="AO164" s="3" t="s">
        <v>86</v>
      </c>
      <c r="AP164" s="3" t="s">
        <v>87</v>
      </c>
      <c r="AQ164" s="3">
        <v>46213</v>
      </c>
      <c r="AR164" s="3" t="s">
        <v>88</v>
      </c>
      <c r="AS164" s="3" t="s">
        <v>89</v>
      </c>
      <c r="AT164" s="3" t="s">
        <v>90</v>
      </c>
      <c r="AU164" s="3" t="s">
        <v>73</v>
      </c>
      <c r="AV164" s="3" t="s">
        <v>89</v>
      </c>
      <c r="AW164" s="3" t="s">
        <v>91</v>
      </c>
      <c r="AX164" s="3" t="s">
        <v>75</v>
      </c>
      <c r="AY164" s="3" t="s">
        <v>76</v>
      </c>
    </row>
    <row r="165" spans="1:51" ht="140">
      <c r="A165" t="s">
        <v>715</v>
      </c>
      <c r="B165" t="s">
        <v>716</v>
      </c>
      <c r="C165" t="s">
        <v>696</v>
      </c>
      <c r="D165" t="s">
        <v>390</v>
      </c>
      <c r="E165" t="s">
        <v>94</v>
      </c>
      <c r="F165" s="4">
        <v>37.322690000000001</v>
      </c>
      <c r="G165" s="4">
        <v>26.66225</v>
      </c>
      <c r="H165" s="5">
        <v>4</v>
      </c>
      <c r="I165" t="s">
        <v>95</v>
      </c>
      <c r="J165" t="s">
        <v>71</v>
      </c>
      <c r="K165" t="s">
        <v>57</v>
      </c>
      <c r="L165" t="s">
        <v>57</v>
      </c>
      <c r="M165" t="s">
        <v>56</v>
      </c>
      <c r="N165" t="s">
        <v>57</v>
      </c>
      <c r="O165" t="s">
        <v>57</v>
      </c>
      <c r="P165" t="s">
        <v>71</v>
      </c>
      <c r="Q165" s="5"/>
      <c r="R165" s="5"/>
      <c r="S165" t="s">
        <v>113</v>
      </c>
      <c r="T165" t="s">
        <v>114</v>
      </c>
      <c r="U165" t="s">
        <v>115</v>
      </c>
      <c r="W165" s="10"/>
      <c r="X165" t="s">
        <v>98</v>
      </c>
      <c r="Y165" t="s">
        <v>98</v>
      </c>
      <c r="Z165" t="s">
        <v>98</v>
      </c>
      <c r="AA165" t="s">
        <v>98</v>
      </c>
      <c r="AB165" t="s">
        <v>98</v>
      </c>
      <c r="AC165" t="s">
        <v>98</v>
      </c>
      <c r="AD165" t="s">
        <v>98</v>
      </c>
      <c r="AE165" t="s">
        <v>98</v>
      </c>
      <c r="AH165" s="3" t="s">
        <v>717</v>
      </c>
      <c r="AI165" s="3" t="s">
        <v>718</v>
      </c>
      <c r="AJ165" s="3" t="s">
        <v>65</v>
      </c>
      <c r="AK165" s="3" t="s">
        <v>62</v>
      </c>
      <c r="AL165" s="3" t="s">
        <v>62</v>
      </c>
      <c r="AM165" s="3" t="s">
        <v>85</v>
      </c>
      <c r="AN165" s="3" t="s">
        <v>67</v>
      </c>
      <c r="AO165" s="3" t="s">
        <v>86</v>
      </c>
      <c r="AP165" s="3" t="s">
        <v>87</v>
      </c>
      <c r="AQ165" s="3">
        <v>46213</v>
      </c>
      <c r="AR165" s="3" t="s">
        <v>88</v>
      </c>
      <c r="AS165" s="3" t="s">
        <v>95</v>
      </c>
      <c r="AT165" s="3" t="s">
        <v>100</v>
      </c>
      <c r="AU165" s="3" t="s">
        <v>73</v>
      </c>
      <c r="AV165" s="3" t="s">
        <v>95</v>
      </c>
      <c r="AW165" s="3" t="s">
        <v>101</v>
      </c>
      <c r="AX165" s="3" t="s">
        <v>75</v>
      </c>
      <c r="AY165" s="3" t="s">
        <v>76</v>
      </c>
    </row>
    <row r="166" spans="1:51" ht="140">
      <c r="A166" t="s">
        <v>719</v>
      </c>
      <c r="B166" t="s">
        <v>720</v>
      </c>
      <c r="C166" t="s">
        <v>696</v>
      </c>
      <c r="D166" t="s">
        <v>390</v>
      </c>
      <c r="E166" t="s">
        <v>79</v>
      </c>
      <c r="F166" s="4">
        <v>37.295999999999999</v>
      </c>
      <c r="G166" s="4">
        <v>26.753</v>
      </c>
      <c r="H166" s="5">
        <v>3.2</v>
      </c>
      <c r="I166" t="s">
        <v>71</v>
      </c>
      <c r="J166" t="s">
        <v>71</v>
      </c>
      <c r="K166" t="s">
        <v>57</v>
      </c>
      <c r="L166" t="s">
        <v>57</v>
      </c>
      <c r="M166" t="s">
        <v>57</v>
      </c>
      <c r="N166" t="s">
        <v>57</v>
      </c>
      <c r="O166" t="s">
        <v>57</v>
      </c>
      <c r="P166" t="s">
        <v>71</v>
      </c>
      <c r="Q166" s="5"/>
      <c r="R166" s="5"/>
      <c r="S166" t="s">
        <v>80</v>
      </c>
      <c r="T166" t="s">
        <v>81</v>
      </c>
      <c r="U166" t="s">
        <v>82</v>
      </c>
      <c r="W166" s="10"/>
      <c r="X166" t="s">
        <v>62</v>
      </c>
      <c r="Y166" t="s">
        <v>62</v>
      </c>
      <c r="Z166" t="s">
        <v>62</v>
      </c>
      <c r="AA166" t="s">
        <v>62</v>
      </c>
      <c r="AB166" t="s">
        <v>62</v>
      </c>
      <c r="AC166" t="s">
        <v>62</v>
      </c>
      <c r="AD166" t="s">
        <v>62</v>
      </c>
      <c r="AE166" t="s">
        <v>62</v>
      </c>
      <c r="AH166" s="3" t="s">
        <v>721</v>
      </c>
      <c r="AI166" s="3" t="s">
        <v>722</v>
      </c>
      <c r="AJ166" s="3" t="s">
        <v>341</v>
      </c>
      <c r="AK166" s="3" t="s">
        <v>62</v>
      </c>
      <c r="AL166" s="3" t="s">
        <v>62</v>
      </c>
      <c r="AM166" s="3" t="s">
        <v>66</v>
      </c>
      <c r="AN166" s="3" t="s">
        <v>67</v>
      </c>
      <c r="AO166" s="3" t="s">
        <v>68</v>
      </c>
      <c r="AP166" s="3" t="s">
        <v>69</v>
      </c>
      <c r="AQ166" s="3">
        <v>46213</v>
      </c>
      <c r="AR166" s="3" t="s">
        <v>70</v>
      </c>
      <c r="AS166" s="3" t="s">
        <v>89</v>
      </c>
      <c r="AT166" s="3" t="s">
        <v>90</v>
      </c>
      <c r="AU166" s="3" t="s">
        <v>73</v>
      </c>
      <c r="AV166" s="3" t="s">
        <v>89</v>
      </c>
      <c r="AW166" s="3" t="s">
        <v>91</v>
      </c>
      <c r="AX166" s="3" t="s">
        <v>75</v>
      </c>
      <c r="AY166" s="3" t="s">
        <v>76</v>
      </c>
    </row>
    <row r="167" spans="1:51" ht="140">
      <c r="A167" t="s">
        <v>723</v>
      </c>
      <c r="B167" t="s">
        <v>724</v>
      </c>
      <c r="C167" t="s">
        <v>696</v>
      </c>
      <c r="D167" t="s">
        <v>390</v>
      </c>
      <c r="E167" t="s">
        <v>94</v>
      </c>
      <c r="F167" s="4">
        <v>37.307220000000001</v>
      </c>
      <c r="G167" s="4">
        <v>26.630189999999999</v>
      </c>
      <c r="H167" s="5">
        <v>3.9</v>
      </c>
      <c r="I167" t="s">
        <v>95</v>
      </c>
      <c r="J167" t="s">
        <v>71</v>
      </c>
      <c r="K167" t="s">
        <v>57</v>
      </c>
      <c r="L167" t="s">
        <v>57</v>
      </c>
      <c r="M167" t="s">
        <v>56</v>
      </c>
      <c r="N167" t="s">
        <v>57</v>
      </c>
      <c r="O167" t="s">
        <v>57</v>
      </c>
      <c r="P167" t="s">
        <v>71</v>
      </c>
      <c r="Q167" s="5"/>
      <c r="R167" s="5"/>
      <c r="S167" t="s">
        <v>96</v>
      </c>
      <c r="T167" t="s">
        <v>57</v>
      </c>
      <c r="U167" t="s">
        <v>122</v>
      </c>
      <c r="W167" s="10"/>
      <c r="X167" t="s">
        <v>98</v>
      </c>
      <c r="Y167" t="s">
        <v>98</v>
      </c>
      <c r="Z167" t="s">
        <v>98</v>
      </c>
      <c r="AA167" t="s">
        <v>98</v>
      </c>
      <c r="AB167" t="s">
        <v>98</v>
      </c>
      <c r="AC167" t="s">
        <v>98</v>
      </c>
      <c r="AD167" t="s">
        <v>98</v>
      </c>
      <c r="AE167" t="s">
        <v>98</v>
      </c>
      <c r="AH167" s="3" t="s">
        <v>725</v>
      </c>
      <c r="AI167" s="3" t="s">
        <v>726</v>
      </c>
      <c r="AJ167" s="3" t="s">
        <v>65</v>
      </c>
      <c r="AK167" s="3" t="s">
        <v>62</v>
      </c>
      <c r="AL167" s="3" t="s">
        <v>62</v>
      </c>
      <c r="AM167" s="3" t="s">
        <v>85</v>
      </c>
      <c r="AN167" s="3" t="s">
        <v>67</v>
      </c>
      <c r="AO167" s="3" t="s">
        <v>86</v>
      </c>
      <c r="AP167" s="3" t="s">
        <v>87</v>
      </c>
      <c r="AQ167" s="3">
        <v>46213</v>
      </c>
      <c r="AR167" s="3" t="s">
        <v>88</v>
      </c>
      <c r="AS167" s="3" t="s">
        <v>95</v>
      </c>
      <c r="AT167" s="3" t="s">
        <v>100</v>
      </c>
      <c r="AU167" s="3" t="s">
        <v>73</v>
      </c>
      <c r="AV167" s="3" t="s">
        <v>95</v>
      </c>
      <c r="AW167" s="3" t="s">
        <v>101</v>
      </c>
      <c r="AX167" s="3" t="s">
        <v>75</v>
      </c>
      <c r="AY167" s="3" t="s">
        <v>76</v>
      </c>
    </row>
    <row r="168" spans="1:51" ht="140">
      <c r="A168" t="s">
        <v>727</v>
      </c>
      <c r="B168" t="s">
        <v>728</v>
      </c>
      <c r="C168" t="s">
        <v>696</v>
      </c>
      <c r="D168" t="s">
        <v>390</v>
      </c>
      <c r="E168" t="s">
        <v>94</v>
      </c>
      <c r="F168" s="4">
        <v>37.301400000000001</v>
      </c>
      <c r="G168" s="4">
        <v>26.666969999999999</v>
      </c>
      <c r="H168" s="5">
        <v>3.7</v>
      </c>
      <c r="I168" t="s">
        <v>95</v>
      </c>
      <c r="J168" t="s">
        <v>71</v>
      </c>
      <c r="K168" t="s">
        <v>57</v>
      </c>
      <c r="L168" t="s">
        <v>57</v>
      </c>
      <c r="M168" t="s">
        <v>56</v>
      </c>
      <c r="N168" t="s">
        <v>57</v>
      </c>
      <c r="O168" t="s">
        <v>57</v>
      </c>
      <c r="P168" t="s">
        <v>71</v>
      </c>
      <c r="Q168" s="5"/>
      <c r="R168" s="5"/>
      <c r="S168" t="s">
        <v>113</v>
      </c>
      <c r="T168" t="s">
        <v>114</v>
      </c>
      <c r="U168" t="s">
        <v>115</v>
      </c>
      <c r="W168" s="10"/>
      <c r="X168" t="s">
        <v>98</v>
      </c>
      <c r="Y168" t="s">
        <v>98</v>
      </c>
      <c r="Z168" t="s">
        <v>98</v>
      </c>
      <c r="AA168" t="s">
        <v>98</v>
      </c>
      <c r="AB168" t="s">
        <v>98</v>
      </c>
      <c r="AC168" t="s">
        <v>98</v>
      </c>
      <c r="AD168" t="s">
        <v>98</v>
      </c>
      <c r="AE168" t="s">
        <v>98</v>
      </c>
      <c r="AH168" s="3" t="s">
        <v>729</v>
      </c>
      <c r="AI168" s="3" t="s">
        <v>730</v>
      </c>
      <c r="AJ168" s="3" t="s">
        <v>65</v>
      </c>
      <c r="AK168" s="3" t="s">
        <v>62</v>
      </c>
      <c r="AL168" s="3" t="s">
        <v>62</v>
      </c>
      <c r="AM168" s="3" t="s">
        <v>85</v>
      </c>
      <c r="AN168" s="3" t="s">
        <v>67</v>
      </c>
      <c r="AO168" s="3" t="s">
        <v>86</v>
      </c>
      <c r="AP168" s="3" t="s">
        <v>87</v>
      </c>
      <c r="AQ168" s="3">
        <v>46213</v>
      </c>
      <c r="AR168" s="3" t="s">
        <v>88</v>
      </c>
      <c r="AS168" s="3" t="s">
        <v>95</v>
      </c>
      <c r="AT168" s="3" t="s">
        <v>100</v>
      </c>
      <c r="AU168" s="3" t="s">
        <v>73</v>
      </c>
      <c r="AV168" s="3" t="s">
        <v>95</v>
      </c>
      <c r="AW168" s="3" t="s">
        <v>101</v>
      </c>
      <c r="AX168" s="3" t="s">
        <v>75</v>
      </c>
      <c r="AY168" s="3" t="s">
        <v>76</v>
      </c>
    </row>
    <row r="169" spans="1:51" ht="140">
      <c r="A169" t="s">
        <v>731</v>
      </c>
      <c r="B169" t="s">
        <v>732</v>
      </c>
      <c r="C169" t="s">
        <v>696</v>
      </c>
      <c r="D169" t="s">
        <v>390</v>
      </c>
      <c r="E169" t="s">
        <v>94</v>
      </c>
      <c r="F169" s="4">
        <v>37.331249999999997</v>
      </c>
      <c r="G169" s="4">
        <v>26.64284</v>
      </c>
      <c r="H169" s="5">
        <v>4.2</v>
      </c>
      <c r="I169" t="s">
        <v>95</v>
      </c>
      <c r="J169" t="s">
        <v>71</v>
      </c>
      <c r="K169" t="s">
        <v>71</v>
      </c>
      <c r="L169" t="s">
        <v>57</v>
      </c>
      <c r="M169" t="s">
        <v>56</v>
      </c>
      <c r="N169" t="s">
        <v>57</v>
      </c>
      <c r="O169" t="s">
        <v>57</v>
      </c>
      <c r="P169" t="s">
        <v>71</v>
      </c>
      <c r="Q169" s="5"/>
      <c r="R169" s="5"/>
      <c r="S169" t="s">
        <v>96</v>
      </c>
      <c r="T169" t="s">
        <v>57</v>
      </c>
      <c r="U169" t="s">
        <v>122</v>
      </c>
      <c r="W169" s="10"/>
      <c r="X169" t="s">
        <v>98</v>
      </c>
      <c r="Y169" t="s">
        <v>98</v>
      </c>
      <c r="Z169" t="s">
        <v>98</v>
      </c>
      <c r="AA169" t="s">
        <v>98</v>
      </c>
      <c r="AB169" t="s">
        <v>98</v>
      </c>
      <c r="AC169" t="s">
        <v>98</v>
      </c>
      <c r="AD169" t="s">
        <v>98</v>
      </c>
      <c r="AE169" t="s">
        <v>98</v>
      </c>
      <c r="AH169" s="3" t="s">
        <v>733</v>
      </c>
      <c r="AI169" s="3" t="s">
        <v>734</v>
      </c>
      <c r="AJ169" s="3" t="s">
        <v>65</v>
      </c>
      <c r="AK169" s="3" t="s">
        <v>62</v>
      </c>
      <c r="AL169" s="3" t="s">
        <v>62</v>
      </c>
      <c r="AM169" s="3" t="s">
        <v>85</v>
      </c>
      <c r="AN169" s="3" t="s">
        <v>67</v>
      </c>
      <c r="AO169" s="3" t="s">
        <v>86</v>
      </c>
      <c r="AP169" s="3" t="s">
        <v>87</v>
      </c>
      <c r="AQ169" s="3">
        <v>46213</v>
      </c>
      <c r="AR169" s="3" t="s">
        <v>88</v>
      </c>
      <c r="AS169" s="3" t="s">
        <v>95</v>
      </c>
      <c r="AT169" s="3" t="s">
        <v>100</v>
      </c>
      <c r="AU169" s="3" t="s">
        <v>73</v>
      </c>
      <c r="AV169" s="3" t="s">
        <v>95</v>
      </c>
      <c r="AW169" s="3" t="s">
        <v>101</v>
      </c>
      <c r="AX169" s="3" t="s">
        <v>75</v>
      </c>
      <c r="AY169" s="3" t="s">
        <v>76</v>
      </c>
    </row>
    <row r="170" spans="1:51" ht="140">
      <c r="A170" t="s">
        <v>735</v>
      </c>
      <c r="B170" t="s">
        <v>736</v>
      </c>
      <c r="C170" t="s">
        <v>696</v>
      </c>
      <c r="D170" t="s">
        <v>390</v>
      </c>
      <c r="E170" t="s">
        <v>94</v>
      </c>
      <c r="F170" s="4">
        <v>37.290489999999998</v>
      </c>
      <c r="G170" s="4">
        <v>26.637229999999999</v>
      </c>
      <c r="H170" s="5">
        <v>3.6</v>
      </c>
      <c r="I170" t="s">
        <v>95</v>
      </c>
      <c r="J170" t="s">
        <v>71</v>
      </c>
      <c r="K170" t="s">
        <v>71</v>
      </c>
      <c r="L170" t="s">
        <v>57</v>
      </c>
      <c r="M170" t="s">
        <v>56</v>
      </c>
      <c r="N170" t="s">
        <v>57</v>
      </c>
      <c r="O170" t="s">
        <v>57</v>
      </c>
      <c r="P170" t="s">
        <v>71</v>
      </c>
      <c r="Q170" s="5"/>
      <c r="R170" s="5"/>
      <c r="S170" t="s">
        <v>113</v>
      </c>
      <c r="T170" t="s">
        <v>114</v>
      </c>
      <c r="U170" t="s">
        <v>115</v>
      </c>
      <c r="W170" s="10"/>
      <c r="X170" t="s">
        <v>98</v>
      </c>
      <c r="Y170" t="s">
        <v>98</v>
      </c>
      <c r="Z170" t="s">
        <v>98</v>
      </c>
      <c r="AA170" t="s">
        <v>98</v>
      </c>
      <c r="AB170" t="s">
        <v>98</v>
      </c>
      <c r="AC170" t="s">
        <v>98</v>
      </c>
      <c r="AD170" t="s">
        <v>98</v>
      </c>
      <c r="AE170" t="s">
        <v>98</v>
      </c>
      <c r="AH170" s="3" t="s">
        <v>737</v>
      </c>
      <c r="AI170" s="3" t="s">
        <v>738</v>
      </c>
      <c r="AJ170" s="3" t="s">
        <v>65</v>
      </c>
      <c r="AK170" s="3" t="s">
        <v>62</v>
      </c>
      <c r="AL170" s="3" t="s">
        <v>62</v>
      </c>
      <c r="AM170" s="3" t="s">
        <v>85</v>
      </c>
      <c r="AN170" s="3" t="s">
        <v>67</v>
      </c>
      <c r="AO170" s="3" t="s">
        <v>86</v>
      </c>
      <c r="AP170" s="3" t="s">
        <v>87</v>
      </c>
      <c r="AQ170" s="3">
        <v>46213</v>
      </c>
      <c r="AR170" s="3" t="s">
        <v>88</v>
      </c>
      <c r="AS170" s="3" t="s">
        <v>95</v>
      </c>
      <c r="AT170" s="3" t="s">
        <v>100</v>
      </c>
      <c r="AU170" s="3" t="s">
        <v>73</v>
      </c>
      <c r="AV170" s="3" t="s">
        <v>95</v>
      </c>
      <c r="AW170" s="3" t="s">
        <v>101</v>
      </c>
      <c r="AX170" s="3" t="s">
        <v>75</v>
      </c>
      <c r="AY170" s="3" t="s">
        <v>76</v>
      </c>
    </row>
    <row r="171" spans="1:51" ht="140">
      <c r="A171" t="s">
        <v>739</v>
      </c>
      <c r="B171" t="s">
        <v>740</v>
      </c>
      <c r="C171" t="s">
        <v>696</v>
      </c>
      <c r="D171" t="s">
        <v>390</v>
      </c>
      <c r="E171" t="s">
        <v>94</v>
      </c>
      <c r="F171" s="4">
        <v>37.317520000000002</v>
      </c>
      <c r="G171" s="4">
        <v>26.675989999999999</v>
      </c>
      <c r="H171" s="5">
        <v>3.4</v>
      </c>
      <c r="I171" t="s">
        <v>95</v>
      </c>
      <c r="J171" t="s">
        <v>71</v>
      </c>
      <c r="K171" t="s">
        <v>71</v>
      </c>
      <c r="L171" t="s">
        <v>57</v>
      </c>
      <c r="M171" t="s">
        <v>56</v>
      </c>
      <c r="N171" t="s">
        <v>57</v>
      </c>
      <c r="O171" t="s">
        <v>57</v>
      </c>
      <c r="P171" t="s">
        <v>71</v>
      </c>
      <c r="Q171" s="5"/>
      <c r="R171" s="5"/>
      <c r="S171" t="s">
        <v>113</v>
      </c>
      <c r="T171" t="s">
        <v>114</v>
      </c>
      <c r="U171" t="s">
        <v>115</v>
      </c>
      <c r="W171" s="10"/>
      <c r="X171" t="s">
        <v>98</v>
      </c>
      <c r="Y171" t="s">
        <v>98</v>
      </c>
      <c r="Z171" t="s">
        <v>98</v>
      </c>
      <c r="AA171" t="s">
        <v>98</v>
      </c>
      <c r="AB171" t="s">
        <v>98</v>
      </c>
      <c r="AC171" t="s">
        <v>98</v>
      </c>
      <c r="AD171" t="s">
        <v>98</v>
      </c>
      <c r="AE171" t="s">
        <v>98</v>
      </c>
      <c r="AH171" s="3" t="s">
        <v>741</v>
      </c>
      <c r="AI171" s="3" t="s">
        <v>742</v>
      </c>
      <c r="AJ171" s="3" t="s">
        <v>65</v>
      </c>
      <c r="AK171" s="3" t="s">
        <v>62</v>
      </c>
      <c r="AL171" s="3" t="s">
        <v>62</v>
      </c>
      <c r="AM171" s="3" t="s">
        <v>85</v>
      </c>
      <c r="AN171" s="3" t="s">
        <v>67</v>
      </c>
      <c r="AO171" s="3" t="s">
        <v>86</v>
      </c>
      <c r="AP171" s="3" t="s">
        <v>87</v>
      </c>
      <c r="AQ171" s="3">
        <v>46213</v>
      </c>
      <c r="AR171" s="3" t="s">
        <v>88</v>
      </c>
      <c r="AS171" s="3" t="s">
        <v>95</v>
      </c>
      <c r="AT171" s="3" t="s">
        <v>100</v>
      </c>
      <c r="AU171" s="3" t="s">
        <v>73</v>
      </c>
      <c r="AV171" s="3" t="s">
        <v>95</v>
      </c>
      <c r="AW171" s="3" t="s">
        <v>101</v>
      </c>
      <c r="AX171" s="3" t="s">
        <v>75</v>
      </c>
      <c r="AY171" s="3" t="s">
        <v>76</v>
      </c>
    </row>
    <row r="172" spans="1:51" ht="140">
      <c r="A172" t="s">
        <v>743</v>
      </c>
      <c r="B172" t="s">
        <v>744</v>
      </c>
      <c r="C172" t="s">
        <v>745</v>
      </c>
      <c r="D172" t="s">
        <v>390</v>
      </c>
      <c r="E172" t="s">
        <v>79</v>
      </c>
      <c r="F172" s="4">
        <v>37.381</v>
      </c>
      <c r="G172" s="4">
        <v>26.738</v>
      </c>
      <c r="H172" s="5">
        <v>3.4</v>
      </c>
      <c r="I172" t="s">
        <v>71</v>
      </c>
      <c r="J172" t="s">
        <v>71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71</v>
      </c>
      <c r="Q172" s="5"/>
      <c r="R172" s="5"/>
      <c r="S172" t="s">
        <v>58</v>
      </c>
      <c r="T172" t="s">
        <v>81</v>
      </c>
      <c r="U172" t="s">
        <v>175</v>
      </c>
      <c r="W172" s="10"/>
      <c r="X172" t="s">
        <v>62</v>
      </c>
      <c r="Y172" t="s">
        <v>62</v>
      </c>
      <c r="Z172" t="s">
        <v>62</v>
      </c>
      <c r="AA172" t="s">
        <v>62</v>
      </c>
      <c r="AB172" t="s">
        <v>62</v>
      </c>
      <c r="AC172" t="s">
        <v>62</v>
      </c>
      <c r="AD172" t="s">
        <v>62</v>
      </c>
      <c r="AE172" t="s">
        <v>62</v>
      </c>
      <c r="AH172" s="3" t="s">
        <v>746</v>
      </c>
      <c r="AI172" s="3" t="s">
        <v>747</v>
      </c>
      <c r="AJ172" s="3" t="s">
        <v>341</v>
      </c>
      <c r="AK172" s="3" t="s">
        <v>62</v>
      </c>
      <c r="AL172" s="3" t="s">
        <v>62</v>
      </c>
      <c r="AM172" s="3" t="s">
        <v>66</v>
      </c>
      <c r="AN172" s="3" t="s">
        <v>67</v>
      </c>
      <c r="AO172" s="3" t="s">
        <v>68</v>
      </c>
      <c r="AP172" s="3" t="s">
        <v>69</v>
      </c>
      <c r="AQ172" s="3">
        <v>46213</v>
      </c>
      <c r="AR172" s="3" t="s">
        <v>70</v>
      </c>
      <c r="AS172" s="3" t="s">
        <v>89</v>
      </c>
      <c r="AT172" s="3" t="s">
        <v>90</v>
      </c>
      <c r="AU172" s="3" t="s">
        <v>73</v>
      </c>
      <c r="AV172" s="3" t="s">
        <v>89</v>
      </c>
      <c r="AW172" s="3" t="s">
        <v>91</v>
      </c>
      <c r="AX172" s="3" t="s">
        <v>75</v>
      </c>
      <c r="AY172" s="3" t="s">
        <v>76</v>
      </c>
    </row>
    <row r="173" spans="1:51" ht="140">
      <c r="A173" t="s">
        <v>748</v>
      </c>
      <c r="B173" t="s">
        <v>749</v>
      </c>
      <c r="C173" t="s">
        <v>745</v>
      </c>
      <c r="D173" t="s">
        <v>390</v>
      </c>
      <c r="E173" t="s">
        <v>94</v>
      </c>
      <c r="F173" s="4">
        <v>37.42</v>
      </c>
      <c r="G173" s="4">
        <v>26.852589999999999</v>
      </c>
      <c r="H173" s="5">
        <v>3.9</v>
      </c>
      <c r="I173" t="s">
        <v>95</v>
      </c>
      <c r="J173" t="s">
        <v>71</v>
      </c>
      <c r="K173" t="s">
        <v>57</v>
      </c>
      <c r="L173" t="s">
        <v>57</v>
      </c>
      <c r="M173" t="s">
        <v>56</v>
      </c>
      <c r="N173" t="s">
        <v>57</v>
      </c>
      <c r="O173" t="s">
        <v>57</v>
      </c>
      <c r="P173" t="s">
        <v>71</v>
      </c>
      <c r="Q173" s="5"/>
      <c r="R173" s="5"/>
      <c r="S173" t="s">
        <v>180</v>
      </c>
      <c r="T173" t="s">
        <v>57</v>
      </c>
      <c r="U173" t="s">
        <v>97</v>
      </c>
      <c r="W173" s="10"/>
      <c r="X173" t="s">
        <v>98</v>
      </c>
      <c r="Y173" t="s">
        <v>98</v>
      </c>
      <c r="Z173" t="s">
        <v>98</v>
      </c>
      <c r="AA173" t="s">
        <v>98</v>
      </c>
      <c r="AB173" t="s">
        <v>98</v>
      </c>
      <c r="AC173" t="s">
        <v>98</v>
      </c>
      <c r="AD173" t="s">
        <v>98</v>
      </c>
      <c r="AE173" t="s">
        <v>98</v>
      </c>
      <c r="AH173" s="3" t="s">
        <v>750</v>
      </c>
      <c r="AI173" s="3" t="s">
        <v>751</v>
      </c>
      <c r="AJ173" s="3" t="s">
        <v>65</v>
      </c>
      <c r="AK173" s="3" t="s">
        <v>62</v>
      </c>
      <c r="AL173" s="3" t="s">
        <v>62</v>
      </c>
      <c r="AM173" s="3" t="s">
        <v>85</v>
      </c>
      <c r="AN173" s="3" t="s">
        <v>67</v>
      </c>
      <c r="AO173" s="3" t="s">
        <v>86</v>
      </c>
      <c r="AP173" s="3" t="s">
        <v>87</v>
      </c>
      <c r="AQ173" s="3">
        <v>46213</v>
      </c>
      <c r="AR173" s="3" t="s">
        <v>88</v>
      </c>
      <c r="AS173" s="3" t="s">
        <v>95</v>
      </c>
      <c r="AT173" s="3" t="s">
        <v>100</v>
      </c>
      <c r="AU173" s="3" t="s">
        <v>73</v>
      </c>
      <c r="AV173" s="3" t="s">
        <v>95</v>
      </c>
      <c r="AW173" s="3" t="s">
        <v>101</v>
      </c>
      <c r="AX173" s="3" t="s">
        <v>75</v>
      </c>
      <c r="AY173" s="3" t="s">
        <v>76</v>
      </c>
    </row>
    <row r="174" spans="1:51" ht="140">
      <c r="A174" t="s">
        <v>752</v>
      </c>
      <c r="B174" t="s">
        <v>753</v>
      </c>
      <c r="C174" t="s">
        <v>745</v>
      </c>
      <c r="D174" t="s">
        <v>390</v>
      </c>
      <c r="E174" t="s">
        <v>94</v>
      </c>
      <c r="F174" s="4">
        <v>37.426760000000002</v>
      </c>
      <c r="G174" s="4">
        <v>26.830719999999999</v>
      </c>
      <c r="H174" s="5">
        <v>3.9</v>
      </c>
      <c r="I174" t="s">
        <v>95</v>
      </c>
      <c r="J174" t="s">
        <v>71</v>
      </c>
      <c r="K174" t="s">
        <v>57</v>
      </c>
      <c r="L174" t="s">
        <v>57</v>
      </c>
      <c r="M174" t="s">
        <v>56</v>
      </c>
      <c r="N174" t="s">
        <v>57</v>
      </c>
      <c r="O174" t="s">
        <v>57</v>
      </c>
      <c r="P174" t="s">
        <v>71</v>
      </c>
      <c r="Q174" s="5"/>
      <c r="R174" s="5"/>
      <c r="S174" t="s">
        <v>180</v>
      </c>
      <c r="T174" t="s">
        <v>57</v>
      </c>
      <c r="U174" t="s">
        <v>97</v>
      </c>
      <c r="W174" s="10"/>
      <c r="X174" t="s">
        <v>98</v>
      </c>
      <c r="Y174" t="s">
        <v>98</v>
      </c>
      <c r="Z174" t="s">
        <v>98</v>
      </c>
      <c r="AA174" t="s">
        <v>98</v>
      </c>
      <c r="AB174" t="s">
        <v>98</v>
      </c>
      <c r="AC174" t="s">
        <v>98</v>
      </c>
      <c r="AD174" t="s">
        <v>98</v>
      </c>
      <c r="AE174" t="s">
        <v>98</v>
      </c>
      <c r="AH174" s="3" t="s">
        <v>754</v>
      </c>
      <c r="AI174" s="3" t="s">
        <v>755</v>
      </c>
      <c r="AJ174" s="3" t="s">
        <v>65</v>
      </c>
      <c r="AK174" s="3" t="s">
        <v>62</v>
      </c>
      <c r="AL174" s="3" t="s">
        <v>62</v>
      </c>
      <c r="AM174" s="3" t="s">
        <v>85</v>
      </c>
      <c r="AN174" s="3" t="s">
        <v>67</v>
      </c>
      <c r="AO174" s="3" t="s">
        <v>86</v>
      </c>
      <c r="AP174" s="3" t="s">
        <v>87</v>
      </c>
      <c r="AQ174" s="3">
        <v>46213</v>
      </c>
      <c r="AR174" s="3" t="s">
        <v>88</v>
      </c>
      <c r="AS174" s="3" t="s">
        <v>95</v>
      </c>
      <c r="AT174" s="3" t="s">
        <v>100</v>
      </c>
      <c r="AU174" s="3" t="s">
        <v>73</v>
      </c>
      <c r="AV174" s="3" t="s">
        <v>95</v>
      </c>
      <c r="AW174" s="3" t="s">
        <v>101</v>
      </c>
      <c r="AX174" s="3" t="s">
        <v>75</v>
      </c>
      <c r="AY174" s="3" t="s">
        <v>76</v>
      </c>
    </row>
    <row r="175" spans="1:51" ht="140">
      <c r="A175" t="s">
        <v>756</v>
      </c>
      <c r="B175" t="s">
        <v>757</v>
      </c>
      <c r="C175" t="s">
        <v>745</v>
      </c>
      <c r="D175" t="s">
        <v>390</v>
      </c>
      <c r="E175" t="s">
        <v>79</v>
      </c>
      <c r="F175" s="4">
        <v>37.410040000000002</v>
      </c>
      <c r="G175" s="4">
        <v>26.841100000000001</v>
      </c>
      <c r="H175" s="5">
        <v>3.3</v>
      </c>
      <c r="I175" t="s">
        <v>71</v>
      </c>
      <c r="J175" t="s">
        <v>71</v>
      </c>
      <c r="K175" t="s">
        <v>57</v>
      </c>
      <c r="L175" t="s">
        <v>57</v>
      </c>
      <c r="M175" t="s">
        <v>57</v>
      </c>
      <c r="N175" t="s">
        <v>57</v>
      </c>
      <c r="O175" t="s">
        <v>57</v>
      </c>
      <c r="P175" t="s">
        <v>71</v>
      </c>
      <c r="Q175" s="5"/>
      <c r="R175" s="5"/>
      <c r="S175" t="s">
        <v>58</v>
      </c>
      <c r="T175" t="s">
        <v>81</v>
      </c>
      <c r="U175" t="s">
        <v>175</v>
      </c>
      <c r="W175" s="10"/>
      <c r="X175" t="s">
        <v>62</v>
      </c>
      <c r="Y175" t="s">
        <v>62</v>
      </c>
      <c r="Z175" t="s">
        <v>62</v>
      </c>
      <c r="AA175" t="s">
        <v>62</v>
      </c>
      <c r="AB175" t="s">
        <v>62</v>
      </c>
      <c r="AC175" t="s">
        <v>62</v>
      </c>
      <c r="AD175" t="s">
        <v>62</v>
      </c>
      <c r="AE175" t="s">
        <v>62</v>
      </c>
      <c r="AH175" s="3" t="s">
        <v>758</v>
      </c>
      <c r="AI175" s="3" t="s">
        <v>759</v>
      </c>
      <c r="AJ175" s="3" t="s">
        <v>341</v>
      </c>
      <c r="AK175" s="3" t="s">
        <v>62</v>
      </c>
      <c r="AL175" s="3" t="s">
        <v>62</v>
      </c>
      <c r="AM175" s="3" t="s">
        <v>85</v>
      </c>
      <c r="AN175" s="3" t="s">
        <v>67</v>
      </c>
      <c r="AO175" s="3" t="s">
        <v>86</v>
      </c>
      <c r="AP175" s="3" t="s">
        <v>87</v>
      </c>
      <c r="AQ175" s="3">
        <v>46213</v>
      </c>
      <c r="AR175" s="3" t="s">
        <v>88</v>
      </c>
      <c r="AS175" s="3" t="s">
        <v>89</v>
      </c>
      <c r="AT175" s="3" t="s">
        <v>90</v>
      </c>
      <c r="AU175" s="3" t="s">
        <v>73</v>
      </c>
      <c r="AV175" s="3" t="s">
        <v>89</v>
      </c>
      <c r="AW175" s="3" t="s">
        <v>91</v>
      </c>
      <c r="AX175" s="3" t="s">
        <v>75</v>
      </c>
      <c r="AY175" s="3" t="s">
        <v>76</v>
      </c>
    </row>
    <row r="176" spans="1:51" ht="140">
      <c r="A176" t="s">
        <v>760</v>
      </c>
      <c r="B176" t="s">
        <v>761</v>
      </c>
      <c r="C176" t="s">
        <v>745</v>
      </c>
      <c r="D176" t="s">
        <v>390</v>
      </c>
      <c r="E176" t="s">
        <v>94</v>
      </c>
      <c r="F176" s="4">
        <v>37.432690000000001</v>
      </c>
      <c r="G176" s="4">
        <v>26.852260000000001</v>
      </c>
      <c r="H176" s="5">
        <v>3.4</v>
      </c>
      <c r="I176" t="s">
        <v>95</v>
      </c>
      <c r="J176" t="s">
        <v>71</v>
      </c>
      <c r="K176" t="s">
        <v>71</v>
      </c>
      <c r="L176" t="s">
        <v>57</v>
      </c>
      <c r="M176" t="s">
        <v>56</v>
      </c>
      <c r="N176" t="s">
        <v>57</v>
      </c>
      <c r="O176" t="s">
        <v>57</v>
      </c>
      <c r="P176" t="s">
        <v>71</v>
      </c>
      <c r="Q176" s="5"/>
      <c r="R176" s="5"/>
      <c r="S176" t="s">
        <v>405</v>
      </c>
      <c r="T176" t="s">
        <v>114</v>
      </c>
      <c r="U176" t="s">
        <v>104</v>
      </c>
      <c r="W176" s="10"/>
      <c r="X176" t="s">
        <v>98</v>
      </c>
      <c r="Y176" t="s">
        <v>98</v>
      </c>
      <c r="Z176" t="s">
        <v>98</v>
      </c>
      <c r="AA176" t="s">
        <v>98</v>
      </c>
      <c r="AB176" t="s">
        <v>98</v>
      </c>
      <c r="AC176" t="s">
        <v>98</v>
      </c>
      <c r="AD176" t="s">
        <v>98</v>
      </c>
      <c r="AE176" t="s">
        <v>98</v>
      </c>
      <c r="AH176" s="3" t="s">
        <v>762</v>
      </c>
      <c r="AI176" s="3" t="s">
        <v>763</v>
      </c>
      <c r="AJ176" s="3" t="s">
        <v>65</v>
      </c>
      <c r="AK176" s="3" t="s">
        <v>62</v>
      </c>
      <c r="AL176" s="3" t="s">
        <v>62</v>
      </c>
      <c r="AM176" s="3" t="s">
        <v>85</v>
      </c>
      <c r="AN176" s="3" t="s">
        <v>67</v>
      </c>
      <c r="AO176" s="3" t="s">
        <v>86</v>
      </c>
      <c r="AP176" s="3" t="s">
        <v>87</v>
      </c>
      <c r="AQ176" s="3">
        <v>46213</v>
      </c>
      <c r="AR176" s="3" t="s">
        <v>88</v>
      </c>
      <c r="AS176" s="3" t="s">
        <v>95</v>
      </c>
      <c r="AT176" s="3" t="s">
        <v>100</v>
      </c>
      <c r="AU176" s="3" t="s">
        <v>73</v>
      </c>
      <c r="AV176" s="3" t="s">
        <v>95</v>
      </c>
      <c r="AW176" s="3" t="s">
        <v>101</v>
      </c>
      <c r="AX176" s="3" t="s">
        <v>75</v>
      </c>
      <c r="AY176" s="3" t="s">
        <v>76</v>
      </c>
    </row>
    <row r="177" spans="1:51" ht="140">
      <c r="A177" t="s">
        <v>764</v>
      </c>
      <c r="B177" t="s">
        <v>765</v>
      </c>
      <c r="C177" t="s">
        <v>745</v>
      </c>
      <c r="D177" t="s">
        <v>390</v>
      </c>
      <c r="E177" t="s">
        <v>79</v>
      </c>
      <c r="F177" s="4">
        <v>37.457999999999998</v>
      </c>
      <c r="G177" s="4">
        <v>26.968</v>
      </c>
      <c r="H177" s="5">
        <v>3.3</v>
      </c>
      <c r="I177" t="s">
        <v>71</v>
      </c>
      <c r="J177" t="s">
        <v>71</v>
      </c>
      <c r="K177" t="s">
        <v>57</v>
      </c>
      <c r="L177" t="s">
        <v>57</v>
      </c>
      <c r="M177" t="s">
        <v>57</v>
      </c>
      <c r="N177" t="s">
        <v>57</v>
      </c>
      <c r="O177" t="s">
        <v>57</v>
      </c>
      <c r="P177" t="s">
        <v>71</v>
      </c>
      <c r="Q177" s="5"/>
      <c r="R177" s="5"/>
      <c r="S177" t="s">
        <v>58</v>
      </c>
      <c r="T177" t="s">
        <v>81</v>
      </c>
      <c r="U177" t="s">
        <v>175</v>
      </c>
      <c r="W177" s="10"/>
      <c r="X177" t="s">
        <v>62</v>
      </c>
      <c r="Y177" t="s">
        <v>62</v>
      </c>
      <c r="Z177" t="s">
        <v>62</v>
      </c>
      <c r="AA177" t="s">
        <v>62</v>
      </c>
      <c r="AB177" t="s">
        <v>62</v>
      </c>
      <c r="AC177" t="s">
        <v>62</v>
      </c>
      <c r="AD177" t="s">
        <v>62</v>
      </c>
      <c r="AE177" t="s">
        <v>62</v>
      </c>
      <c r="AH177" s="3" t="s">
        <v>766</v>
      </c>
      <c r="AI177" s="3" t="s">
        <v>767</v>
      </c>
      <c r="AJ177" s="3" t="s">
        <v>341</v>
      </c>
      <c r="AK177" s="3" t="s">
        <v>62</v>
      </c>
      <c r="AL177" s="3" t="s">
        <v>62</v>
      </c>
      <c r="AM177" s="3" t="s">
        <v>66</v>
      </c>
      <c r="AN177" s="3" t="s">
        <v>67</v>
      </c>
      <c r="AO177" s="3" t="s">
        <v>68</v>
      </c>
      <c r="AP177" s="3" t="s">
        <v>69</v>
      </c>
      <c r="AQ177" s="3">
        <v>46213</v>
      </c>
      <c r="AR177" s="3" t="s">
        <v>70</v>
      </c>
      <c r="AS177" s="3" t="s">
        <v>89</v>
      </c>
      <c r="AT177" s="3" t="s">
        <v>90</v>
      </c>
      <c r="AU177" s="3" t="s">
        <v>73</v>
      </c>
      <c r="AV177" s="3" t="s">
        <v>89</v>
      </c>
      <c r="AW177" s="3" t="s">
        <v>91</v>
      </c>
      <c r="AX177" s="3" t="s">
        <v>75</v>
      </c>
      <c r="AY177" s="3" t="s">
        <v>76</v>
      </c>
    </row>
    <row r="178" spans="1:51" ht="140">
      <c r="A178" t="s">
        <v>768</v>
      </c>
      <c r="B178" t="s">
        <v>769</v>
      </c>
      <c r="C178" t="s">
        <v>745</v>
      </c>
      <c r="D178" t="s">
        <v>390</v>
      </c>
      <c r="E178" t="s">
        <v>94</v>
      </c>
      <c r="F178" s="4">
        <v>37.41722</v>
      </c>
      <c r="G178" s="4">
        <v>26.820160000000001</v>
      </c>
      <c r="H178" s="5">
        <v>4.2</v>
      </c>
      <c r="I178" t="s">
        <v>95</v>
      </c>
      <c r="J178" t="s">
        <v>71</v>
      </c>
      <c r="K178" t="s">
        <v>71</v>
      </c>
      <c r="L178" t="s">
        <v>57</v>
      </c>
      <c r="M178" t="s">
        <v>56</v>
      </c>
      <c r="N178" t="s">
        <v>57</v>
      </c>
      <c r="O178" t="s">
        <v>57</v>
      </c>
      <c r="P178" t="s">
        <v>71</v>
      </c>
      <c r="Q178" s="5"/>
      <c r="R178" s="5"/>
      <c r="S178" t="s">
        <v>96</v>
      </c>
      <c r="T178" t="s">
        <v>57</v>
      </c>
      <c r="U178" t="s">
        <v>122</v>
      </c>
      <c r="W178" s="10"/>
      <c r="X178" t="s">
        <v>98</v>
      </c>
      <c r="Y178" t="s">
        <v>98</v>
      </c>
      <c r="Z178" t="s">
        <v>98</v>
      </c>
      <c r="AA178" t="s">
        <v>98</v>
      </c>
      <c r="AB178" t="s">
        <v>98</v>
      </c>
      <c r="AC178" t="s">
        <v>98</v>
      </c>
      <c r="AD178" t="s">
        <v>98</v>
      </c>
      <c r="AE178" t="s">
        <v>98</v>
      </c>
      <c r="AH178" s="3" t="s">
        <v>770</v>
      </c>
      <c r="AI178" s="3" t="s">
        <v>771</v>
      </c>
      <c r="AJ178" s="3" t="s">
        <v>65</v>
      </c>
      <c r="AK178" s="3" t="s">
        <v>62</v>
      </c>
      <c r="AL178" s="3" t="s">
        <v>62</v>
      </c>
      <c r="AM178" s="3" t="s">
        <v>85</v>
      </c>
      <c r="AN178" s="3" t="s">
        <v>67</v>
      </c>
      <c r="AO178" s="3" t="s">
        <v>86</v>
      </c>
      <c r="AP178" s="3" t="s">
        <v>87</v>
      </c>
      <c r="AQ178" s="3">
        <v>46213</v>
      </c>
      <c r="AR178" s="3" t="s">
        <v>88</v>
      </c>
      <c r="AS178" s="3" t="s">
        <v>95</v>
      </c>
      <c r="AT178" s="3" t="s">
        <v>100</v>
      </c>
      <c r="AU178" s="3" t="s">
        <v>73</v>
      </c>
      <c r="AV178" s="3" t="s">
        <v>95</v>
      </c>
      <c r="AW178" s="3" t="s">
        <v>101</v>
      </c>
      <c r="AX178" s="3" t="s">
        <v>75</v>
      </c>
      <c r="AY178" s="3" t="s">
        <v>76</v>
      </c>
    </row>
    <row r="179" spans="1:51" ht="140">
      <c r="A179" t="s">
        <v>772</v>
      </c>
      <c r="B179" t="s">
        <v>773</v>
      </c>
      <c r="C179" t="s">
        <v>745</v>
      </c>
      <c r="D179" t="s">
        <v>390</v>
      </c>
      <c r="E179" t="s">
        <v>94</v>
      </c>
      <c r="F179" s="4">
        <v>37.4114</v>
      </c>
      <c r="G179" s="4">
        <v>26.85699</v>
      </c>
      <c r="H179" s="5">
        <v>3.8</v>
      </c>
      <c r="I179" t="s">
        <v>95</v>
      </c>
      <c r="J179" t="s">
        <v>71</v>
      </c>
      <c r="K179" t="s">
        <v>71</v>
      </c>
      <c r="L179" t="s">
        <v>57</v>
      </c>
      <c r="M179" t="s">
        <v>56</v>
      </c>
      <c r="N179" t="s">
        <v>57</v>
      </c>
      <c r="O179" t="s">
        <v>57</v>
      </c>
      <c r="P179" t="s">
        <v>71</v>
      </c>
      <c r="Q179" s="5"/>
      <c r="R179" s="5"/>
      <c r="S179" t="s">
        <v>405</v>
      </c>
      <c r="T179" t="s">
        <v>114</v>
      </c>
      <c r="U179" t="s">
        <v>104</v>
      </c>
      <c r="W179" s="10"/>
      <c r="X179" t="s">
        <v>98</v>
      </c>
      <c r="Y179" t="s">
        <v>98</v>
      </c>
      <c r="Z179" t="s">
        <v>98</v>
      </c>
      <c r="AA179" t="s">
        <v>98</v>
      </c>
      <c r="AB179" t="s">
        <v>98</v>
      </c>
      <c r="AC179" t="s">
        <v>98</v>
      </c>
      <c r="AD179" t="s">
        <v>98</v>
      </c>
      <c r="AE179" t="s">
        <v>98</v>
      </c>
      <c r="AH179" s="3" t="s">
        <v>774</v>
      </c>
      <c r="AI179" s="3" t="s">
        <v>775</v>
      </c>
      <c r="AJ179" s="3" t="s">
        <v>65</v>
      </c>
      <c r="AK179" s="3" t="s">
        <v>62</v>
      </c>
      <c r="AL179" s="3" t="s">
        <v>62</v>
      </c>
      <c r="AM179" s="3" t="s">
        <v>85</v>
      </c>
      <c r="AN179" s="3" t="s">
        <v>67</v>
      </c>
      <c r="AO179" s="3" t="s">
        <v>86</v>
      </c>
      <c r="AP179" s="3" t="s">
        <v>87</v>
      </c>
      <c r="AQ179" s="3">
        <v>46213</v>
      </c>
      <c r="AR179" s="3" t="s">
        <v>88</v>
      </c>
      <c r="AS179" s="3" t="s">
        <v>95</v>
      </c>
      <c r="AT179" s="3" t="s">
        <v>100</v>
      </c>
      <c r="AU179" s="3" t="s">
        <v>73</v>
      </c>
      <c r="AV179" s="3" t="s">
        <v>95</v>
      </c>
      <c r="AW179" s="3" t="s">
        <v>101</v>
      </c>
      <c r="AX179" s="3" t="s">
        <v>75</v>
      </c>
      <c r="AY179" s="3" t="s">
        <v>76</v>
      </c>
    </row>
    <row r="180" spans="1:51" ht="140">
      <c r="A180" t="s">
        <v>776</v>
      </c>
      <c r="B180" t="s">
        <v>777</v>
      </c>
      <c r="C180" t="s">
        <v>745</v>
      </c>
      <c r="D180" t="s">
        <v>390</v>
      </c>
      <c r="E180" t="s">
        <v>94</v>
      </c>
      <c r="F180" s="4">
        <v>37.441249999999997</v>
      </c>
      <c r="G180" s="4">
        <v>26.832830000000001</v>
      </c>
      <c r="H180" s="5">
        <v>3.6</v>
      </c>
      <c r="I180" t="s">
        <v>95</v>
      </c>
      <c r="J180" t="s">
        <v>71</v>
      </c>
      <c r="K180" t="s">
        <v>57</v>
      </c>
      <c r="L180" t="s">
        <v>57</v>
      </c>
      <c r="M180" t="s">
        <v>56</v>
      </c>
      <c r="N180" t="s">
        <v>57</v>
      </c>
      <c r="O180" t="s">
        <v>57</v>
      </c>
      <c r="P180" t="s">
        <v>71</v>
      </c>
      <c r="Q180" s="5"/>
      <c r="R180" s="5"/>
      <c r="S180" t="s">
        <v>405</v>
      </c>
      <c r="T180" t="s">
        <v>114</v>
      </c>
      <c r="U180" t="s">
        <v>104</v>
      </c>
      <c r="W180" s="10"/>
      <c r="X180" t="s">
        <v>98</v>
      </c>
      <c r="Y180" t="s">
        <v>98</v>
      </c>
      <c r="Z180" t="s">
        <v>98</v>
      </c>
      <c r="AA180" t="s">
        <v>98</v>
      </c>
      <c r="AB180" t="s">
        <v>98</v>
      </c>
      <c r="AC180" t="s">
        <v>98</v>
      </c>
      <c r="AD180" t="s">
        <v>98</v>
      </c>
      <c r="AE180" t="s">
        <v>98</v>
      </c>
      <c r="AH180" s="3" t="s">
        <v>778</v>
      </c>
      <c r="AI180" s="3" t="s">
        <v>779</v>
      </c>
      <c r="AJ180" s="3" t="s">
        <v>65</v>
      </c>
      <c r="AK180" s="3" t="s">
        <v>62</v>
      </c>
      <c r="AL180" s="3" t="s">
        <v>62</v>
      </c>
      <c r="AM180" s="3" t="s">
        <v>85</v>
      </c>
      <c r="AN180" s="3" t="s">
        <v>67</v>
      </c>
      <c r="AO180" s="3" t="s">
        <v>86</v>
      </c>
      <c r="AP180" s="3" t="s">
        <v>87</v>
      </c>
      <c r="AQ180" s="3">
        <v>46213</v>
      </c>
      <c r="AR180" s="3" t="s">
        <v>88</v>
      </c>
      <c r="AS180" s="3" t="s">
        <v>95</v>
      </c>
      <c r="AT180" s="3" t="s">
        <v>100</v>
      </c>
      <c r="AU180" s="3" t="s">
        <v>73</v>
      </c>
      <c r="AV180" s="3" t="s">
        <v>95</v>
      </c>
      <c r="AW180" s="3" t="s">
        <v>101</v>
      </c>
      <c r="AX180" s="3" t="s">
        <v>75</v>
      </c>
      <c r="AY180" s="3" t="s">
        <v>76</v>
      </c>
    </row>
    <row r="181" spans="1:51" ht="140">
      <c r="A181" t="s">
        <v>780</v>
      </c>
      <c r="B181" t="s">
        <v>781</v>
      </c>
      <c r="C181" t="s">
        <v>745</v>
      </c>
      <c r="D181" t="s">
        <v>390</v>
      </c>
      <c r="E181" t="s">
        <v>94</v>
      </c>
      <c r="F181" s="4">
        <v>37.400489999999998</v>
      </c>
      <c r="G181" s="4">
        <v>26.827210000000001</v>
      </c>
      <c r="H181" s="5">
        <v>4</v>
      </c>
      <c r="I181" t="s">
        <v>95</v>
      </c>
      <c r="J181" t="s">
        <v>71</v>
      </c>
      <c r="K181" t="s">
        <v>57</v>
      </c>
      <c r="L181" t="s">
        <v>57</v>
      </c>
      <c r="M181" t="s">
        <v>56</v>
      </c>
      <c r="N181" t="s">
        <v>57</v>
      </c>
      <c r="O181" t="s">
        <v>57</v>
      </c>
      <c r="P181" t="s">
        <v>71</v>
      </c>
      <c r="Q181" s="5"/>
      <c r="R181" s="5"/>
      <c r="S181" t="s">
        <v>96</v>
      </c>
      <c r="T181" t="s">
        <v>57</v>
      </c>
      <c r="U181" t="s">
        <v>122</v>
      </c>
      <c r="W181" s="10"/>
      <c r="X181" t="s">
        <v>98</v>
      </c>
      <c r="Y181" t="s">
        <v>98</v>
      </c>
      <c r="Z181" t="s">
        <v>98</v>
      </c>
      <c r="AA181" t="s">
        <v>98</v>
      </c>
      <c r="AB181" t="s">
        <v>98</v>
      </c>
      <c r="AC181" t="s">
        <v>98</v>
      </c>
      <c r="AD181" t="s">
        <v>98</v>
      </c>
      <c r="AE181" t="s">
        <v>98</v>
      </c>
      <c r="AH181" s="3" t="s">
        <v>782</v>
      </c>
      <c r="AI181" s="3" t="s">
        <v>783</v>
      </c>
      <c r="AJ181" s="3" t="s">
        <v>65</v>
      </c>
      <c r="AK181" s="3" t="s">
        <v>62</v>
      </c>
      <c r="AL181" s="3" t="s">
        <v>62</v>
      </c>
      <c r="AM181" s="3" t="s">
        <v>85</v>
      </c>
      <c r="AN181" s="3" t="s">
        <v>67</v>
      </c>
      <c r="AO181" s="3" t="s">
        <v>86</v>
      </c>
      <c r="AP181" s="3" t="s">
        <v>87</v>
      </c>
      <c r="AQ181" s="3">
        <v>46213</v>
      </c>
      <c r="AR181" s="3" t="s">
        <v>88</v>
      </c>
      <c r="AS181" s="3" t="s">
        <v>95</v>
      </c>
      <c r="AT181" s="3" t="s">
        <v>100</v>
      </c>
      <c r="AU181" s="3" t="s">
        <v>73</v>
      </c>
      <c r="AV181" s="3" t="s">
        <v>95</v>
      </c>
      <c r="AW181" s="3" t="s">
        <v>101</v>
      </c>
      <c r="AX181" s="3" t="s">
        <v>75</v>
      </c>
      <c r="AY181" s="3" t="s">
        <v>76</v>
      </c>
    </row>
    <row r="182" spans="1:51" ht="140">
      <c r="A182" t="s">
        <v>784</v>
      </c>
      <c r="B182" t="s">
        <v>785</v>
      </c>
      <c r="C182" t="s">
        <v>745</v>
      </c>
      <c r="D182" t="s">
        <v>390</v>
      </c>
      <c r="E182" t="s">
        <v>94</v>
      </c>
      <c r="F182" s="4">
        <v>37.427520000000001</v>
      </c>
      <c r="G182" s="4">
        <v>26.866029999999999</v>
      </c>
      <c r="H182" s="5">
        <v>3.9</v>
      </c>
      <c r="I182" t="s">
        <v>95</v>
      </c>
      <c r="J182" t="s">
        <v>71</v>
      </c>
      <c r="K182" t="s">
        <v>71</v>
      </c>
      <c r="L182" t="s">
        <v>57</v>
      </c>
      <c r="M182" t="s">
        <v>56</v>
      </c>
      <c r="N182" t="s">
        <v>57</v>
      </c>
      <c r="O182" t="s">
        <v>57</v>
      </c>
      <c r="P182" t="s">
        <v>71</v>
      </c>
      <c r="Q182" s="5"/>
      <c r="R182" s="5"/>
      <c r="S182" t="s">
        <v>180</v>
      </c>
      <c r="T182" t="s">
        <v>57</v>
      </c>
      <c r="U182" t="s">
        <v>97</v>
      </c>
      <c r="W182" s="10"/>
      <c r="X182" t="s">
        <v>98</v>
      </c>
      <c r="Y182" t="s">
        <v>98</v>
      </c>
      <c r="Z182" t="s">
        <v>98</v>
      </c>
      <c r="AA182" t="s">
        <v>98</v>
      </c>
      <c r="AB182" t="s">
        <v>98</v>
      </c>
      <c r="AC182" t="s">
        <v>98</v>
      </c>
      <c r="AD182" t="s">
        <v>98</v>
      </c>
      <c r="AE182" t="s">
        <v>98</v>
      </c>
      <c r="AH182" s="3" t="s">
        <v>786</v>
      </c>
      <c r="AI182" s="3" t="s">
        <v>787</v>
      </c>
      <c r="AJ182" s="3" t="s">
        <v>65</v>
      </c>
      <c r="AK182" s="3" t="s">
        <v>62</v>
      </c>
      <c r="AL182" s="3" t="s">
        <v>62</v>
      </c>
      <c r="AM182" s="3" t="s">
        <v>85</v>
      </c>
      <c r="AN182" s="3" t="s">
        <v>67</v>
      </c>
      <c r="AO182" s="3" t="s">
        <v>86</v>
      </c>
      <c r="AP182" s="3" t="s">
        <v>87</v>
      </c>
      <c r="AQ182" s="3">
        <v>46213</v>
      </c>
      <c r="AR182" s="3" t="s">
        <v>88</v>
      </c>
      <c r="AS182" s="3" t="s">
        <v>95</v>
      </c>
      <c r="AT182" s="3" t="s">
        <v>100</v>
      </c>
      <c r="AU182" s="3" t="s">
        <v>73</v>
      </c>
      <c r="AV182" s="3" t="s">
        <v>95</v>
      </c>
      <c r="AW182" s="3" t="s">
        <v>101</v>
      </c>
      <c r="AX182" s="3" t="s">
        <v>75</v>
      </c>
      <c r="AY182" s="3" t="s">
        <v>76</v>
      </c>
    </row>
    <row r="183" spans="1:51" ht="140">
      <c r="A183" t="s">
        <v>788</v>
      </c>
      <c r="B183" t="s">
        <v>789</v>
      </c>
      <c r="C183" t="s">
        <v>745</v>
      </c>
      <c r="D183" t="s">
        <v>390</v>
      </c>
      <c r="E183" t="s">
        <v>94</v>
      </c>
      <c r="F183" s="4">
        <v>37.430720000000001</v>
      </c>
      <c r="G183" s="4">
        <v>26.80743</v>
      </c>
      <c r="H183" s="5">
        <v>4</v>
      </c>
      <c r="I183" t="s">
        <v>95</v>
      </c>
      <c r="J183" t="s">
        <v>71</v>
      </c>
      <c r="K183" t="s">
        <v>57</v>
      </c>
      <c r="L183" t="s">
        <v>57</v>
      </c>
      <c r="M183" t="s">
        <v>56</v>
      </c>
      <c r="N183" t="s">
        <v>57</v>
      </c>
      <c r="O183" t="s">
        <v>57</v>
      </c>
      <c r="P183" t="s">
        <v>71</v>
      </c>
      <c r="Q183" s="5"/>
      <c r="R183" s="5"/>
      <c r="S183" t="s">
        <v>113</v>
      </c>
      <c r="T183" t="s">
        <v>114</v>
      </c>
      <c r="U183" t="s">
        <v>115</v>
      </c>
      <c r="W183" s="10"/>
      <c r="X183" t="s">
        <v>98</v>
      </c>
      <c r="Y183" t="s">
        <v>98</v>
      </c>
      <c r="Z183" t="s">
        <v>98</v>
      </c>
      <c r="AA183" t="s">
        <v>98</v>
      </c>
      <c r="AB183" t="s">
        <v>98</v>
      </c>
      <c r="AC183" t="s">
        <v>98</v>
      </c>
      <c r="AD183" t="s">
        <v>98</v>
      </c>
      <c r="AE183" t="s">
        <v>98</v>
      </c>
      <c r="AH183" s="3" t="s">
        <v>790</v>
      </c>
      <c r="AI183" s="3" t="s">
        <v>791</v>
      </c>
      <c r="AJ183" s="3" t="s">
        <v>65</v>
      </c>
      <c r="AK183" s="3" t="s">
        <v>62</v>
      </c>
      <c r="AL183" s="3" t="s">
        <v>62</v>
      </c>
      <c r="AM183" s="3" t="s">
        <v>85</v>
      </c>
      <c r="AN183" s="3" t="s">
        <v>67</v>
      </c>
      <c r="AO183" s="3" t="s">
        <v>86</v>
      </c>
      <c r="AP183" s="3" t="s">
        <v>87</v>
      </c>
      <c r="AQ183" s="3">
        <v>46213</v>
      </c>
      <c r="AR183" s="3" t="s">
        <v>88</v>
      </c>
      <c r="AS183" s="3" t="s">
        <v>95</v>
      </c>
      <c r="AT183" s="3" t="s">
        <v>100</v>
      </c>
      <c r="AU183" s="3" t="s">
        <v>73</v>
      </c>
      <c r="AV183" s="3" t="s">
        <v>95</v>
      </c>
      <c r="AW183" s="3" t="s">
        <v>101</v>
      </c>
      <c r="AX183" s="3" t="s">
        <v>75</v>
      </c>
      <c r="AY183" s="3" t="s">
        <v>76</v>
      </c>
    </row>
    <row r="184" spans="1:51" ht="140">
      <c r="A184" t="s">
        <v>792</v>
      </c>
      <c r="B184" t="s">
        <v>793</v>
      </c>
      <c r="C184" t="s">
        <v>794</v>
      </c>
      <c r="D184" t="s">
        <v>390</v>
      </c>
      <c r="E184" t="s">
        <v>94</v>
      </c>
      <c r="F184" s="4">
        <v>37.612000000000002</v>
      </c>
      <c r="G184" s="4">
        <v>26.294</v>
      </c>
      <c r="H184" s="5">
        <v>3.8</v>
      </c>
      <c r="I184" t="s">
        <v>95</v>
      </c>
      <c r="J184" t="s">
        <v>71</v>
      </c>
      <c r="K184" t="s">
        <v>57</v>
      </c>
      <c r="L184" t="s">
        <v>57</v>
      </c>
      <c r="M184" t="s">
        <v>56</v>
      </c>
      <c r="N184" t="s">
        <v>57</v>
      </c>
      <c r="O184" t="s">
        <v>57</v>
      </c>
      <c r="P184" t="s">
        <v>71</v>
      </c>
      <c r="Q184" s="5"/>
      <c r="R184" s="5"/>
      <c r="S184" t="s">
        <v>405</v>
      </c>
      <c r="T184" t="s">
        <v>114</v>
      </c>
      <c r="U184" t="s">
        <v>104</v>
      </c>
      <c r="W184" s="10"/>
      <c r="X184" t="s">
        <v>98</v>
      </c>
      <c r="Y184" t="s">
        <v>98</v>
      </c>
      <c r="Z184" t="s">
        <v>98</v>
      </c>
      <c r="AA184" t="s">
        <v>98</v>
      </c>
      <c r="AB184" t="s">
        <v>98</v>
      </c>
      <c r="AC184" t="s">
        <v>98</v>
      </c>
      <c r="AD184" t="s">
        <v>98</v>
      </c>
      <c r="AE184" t="s">
        <v>98</v>
      </c>
      <c r="AH184" s="3" t="s">
        <v>795</v>
      </c>
      <c r="AI184" s="3" t="s">
        <v>796</v>
      </c>
      <c r="AJ184" s="3" t="s">
        <v>65</v>
      </c>
      <c r="AK184" s="3" t="s">
        <v>62</v>
      </c>
      <c r="AL184" s="3" t="s">
        <v>62</v>
      </c>
      <c r="AM184" s="3" t="s">
        <v>66</v>
      </c>
      <c r="AN184" s="3" t="s">
        <v>67</v>
      </c>
      <c r="AO184" s="3" t="s">
        <v>68</v>
      </c>
      <c r="AP184" s="3" t="s">
        <v>69</v>
      </c>
      <c r="AQ184" s="3">
        <v>46213</v>
      </c>
      <c r="AR184" s="3" t="s">
        <v>70</v>
      </c>
      <c r="AS184" s="3" t="s">
        <v>95</v>
      </c>
      <c r="AT184" s="3" t="s">
        <v>100</v>
      </c>
      <c r="AU184" s="3" t="s">
        <v>73</v>
      </c>
      <c r="AV184" s="3" t="s">
        <v>95</v>
      </c>
      <c r="AW184" s="3" t="s">
        <v>101</v>
      </c>
      <c r="AX184" s="3" t="s">
        <v>75</v>
      </c>
      <c r="AY184" s="3" t="s">
        <v>76</v>
      </c>
    </row>
  </sheetData>
  <conditionalFormatting sqref="W2:W184">
    <cfRule type="expression" dxfId="9" priority="1">
      <formula>W2="Oui"</formula>
    </cfRule>
    <cfRule type="expression" dxfId="8" priority="2">
      <formula>W2="À vérifier"</formula>
    </cfRule>
    <cfRule type="expression" dxfId="7" priority="3">
      <formula>W2="À documenter"</formula>
    </cfRule>
    <cfRule type="expression" dxfId="6" priority="4">
      <formula>W2="Non"</formula>
    </cfRule>
  </conditionalFormatting>
  <conditionalFormatting sqref="X2:AE184">
    <cfRule type="expression" dxfId="5" priority="9">
      <formula>X2="Oui"</formula>
    </cfRule>
    <cfRule type="expression" dxfId="4" priority="10">
      <formula>X2="À vérifier"</formula>
    </cfRule>
    <cfRule type="expression" dxfId="3" priority="11">
      <formula>X2="À documenter"</formula>
    </cfRule>
    <cfRule type="expression" dxfId="2" priority="12">
      <formula>X2="Non"</formula>
    </cfRule>
  </conditionalFormatting>
  <dataValidations count="2">
    <dataValidation type="list" sqref="X2:AE184" xr:uid="{00000000-0002-0000-0000-000000000000}">
      <formula1>"Oui,Non,À vérifier,À documenter,—"</formula1>
    </dataValidation>
    <dataValidation type="list" sqref="AJ2:AJ184" xr:uid="{00000000-0002-0000-0000-000001000000}">
      <formula1>"Confirmé,À confirmer,Préparation"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/>
  <cols>
    <col min="1" max="1" width="24" customWidth="1"/>
    <col min="2" max="2" width="80" customWidth="1"/>
  </cols>
  <sheetData>
    <row r="1" spans="1:2">
      <c r="A1" s="1" t="s">
        <v>797</v>
      </c>
      <c r="B1" s="1" t="s">
        <v>798</v>
      </c>
    </row>
    <row r="2" spans="1:2">
      <c r="A2" s="3" t="s">
        <v>799</v>
      </c>
      <c r="B2" s="3" t="s">
        <v>800</v>
      </c>
    </row>
    <row r="3" spans="1:2">
      <c r="A3" s="3" t="s">
        <v>35</v>
      </c>
      <c r="B3" s="3" t="s">
        <v>801</v>
      </c>
    </row>
    <row r="4" spans="1:2">
      <c r="A4" s="3" t="s">
        <v>34</v>
      </c>
      <c r="B4" s="3" t="s">
        <v>802</v>
      </c>
    </row>
    <row r="5" spans="1:2">
      <c r="A5" s="3" t="s">
        <v>21</v>
      </c>
      <c r="B5" s="3" t="s">
        <v>803</v>
      </c>
    </row>
    <row r="6" spans="1:2">
      <c r="A6" s="3" t="s">
        <v>20</v>
      </c>
      <c r="B6" s="3" t="s">
        <v>804</v>
      </c>
    </row>
    <row r="7" spans="1:2">
      <c r="A7" s="3" t="s">
        <v>4</v>
      </c>
      <c r="B7" s="3" t="s">
        <v>805</v>
      </c>
    </row>
    <row r="8" spans="1:2">
      <c r="A8" s="3" t="s">
        <v>2</v>
      </c>
      <c r="B8" s="3" t="s">
        <v>806</v>
      </c>
    </row>
    <row r="9" spans="1:2">
      <c r="A9" s="3" t="s">
        <v>807</v>
      </c>
      <c r="B9" s="3" t="s">
        <v>808</v>
      </c>
    </row>
    <row r="10" spans="1:2">
      <c r="A10" s="3" t="s">
        <v>809</v>
      </c>
      <c r="B10" s="3" t="s">
        <v>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"/>
  <cols>
    <col min="1" max="1" width="16" customWidth="1"/>
    <col min="2" max="2" width="14" customWidth="1"/>
    <col min="3" max="3" width="22" customWidth="1"/>
    <col min="4" max="4" width="90" customWidth="1"/>
  </cols>
  <sheetData>
    <row r="1" spans="1:4">
      <c r="A1" s="1" t="s">
        <v>811</v>
      </c>
      <c r="B1" s="1" t="s">
        <v>812</v>
      </c>
      <c r="C1" s="1" t="s">
        <v>813</v>
      </c>
      <c r="D1" s="1" t="s">
        <v>814</v>
      </c>
    </row>
    <row r="2" spans="1:4" ht="28">
      <c r="A2" s="3" t="s">
        <v>815</v>
      </c>
      <c r="B2" s="3" t="s">
        <v>816</v>
      </c>
      <c r="C2" s="3" t="s">
        <v>817</v>
      </c>
      <c r="D2" s="3" t="s">
        <v>818</v>
      </c>
    </row>
    <row r="3" spans="1:4">
      <c r="A3" t="s">
        <v>819</v>
      </c>
      <c r="B3" t="s">
        <v>816</v>
      </c>
      <c r="C3" t="s">
        <v>820</v>
      </c>
      <c r="D3" t="s">
        <v>821</v>
      </c>
    </row>
    <row r="4" spans="1:4">
      <c r="A4" t="s">
        <v>822</v>
      </c>
      <c r="B4" t="s">
        <v>816</v>
      </c>
      <c r="C4" t="s">
        <v>823</v>
      </c>
      <c r="D4" t="s">
        <v>824</v>
      </c>
    </row>
    <row r="5" spans="1:4">
      <c r="A5" t="s">
        <v>825</v>
      </c>
      <c r="B5" t="s">
        <v>816</v>
      </c>
      <c r="C5" t="s">
        <v>826</v>
      </c>
      <c r="D5" t="s">
        <v>827</v>
      </c>
    </row>
    <row r="6" spans="1:4">
      <c r="A6" t="s">
        <v>828</v>
      </c>
      <c r="B6" t="s">
        <v>816</v>
      </c>
      <c r="C6" t="s">
        <v>829</v>
      </c>
      <c r="D6" t="s">
        <v>830</v>
      </c>
    </row>
    <row r="7" spans="1:4">
      <c r="A7" t="s">
        <v>831</v>
      </c>
      <c r="B7" t="s">
        <v>816</v>
      </c>
      <c r="C7" t="s">
        <v>832</v>
      </c>
      <c r="D7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"/>
  <cols>
    <col min="1" max="1" width="24" customWidth="1"/>
    <col min="2" max="2" width="78" customWidth="1"/>
  </cols>
  <sheetData>
    <row r="1" spans="1:8" ht="19">
      <c r="A1" s="15" t="s">
        <v>834</v>
      </c>
      <c r="B1" s="15" t="s">
        <v>834</v>
      </c>
      <c r="C1" s="15" t="s">
        <v>834</v>
      </c>
      <c r="D1" s="15" t="s">
        <v>834</v>
      </c>
      <c r="E1" s="15" t="s">
        <v>834</v>
      </c>
      <c r="F1" s="15" t="s">
        <v>834</v>
      </c>
      <c r="G1" s="15" t="s">
        <v>834</v>
      </c>
      <c r="H1" s="15" t="s">
        <v>834</v>
      </c>
    </row>
    <row r="3" spans="1:8">
      <c r="A3" s="11" t="s">
        <v>835</v>
      </c>
      <c r="B3" s="11" t="s">
        <v>836</v>
      </c>
    </row>
    <row r="4" spans="1:8" ht="28">
      <c r="A4" t="s">
        <v>837</v>
      </c>
      <c r="B4" s="3" t="s">
        <v>838</v>
      </c>
    </row>
    <row r="5" spans="1:8" ht="28">
      <c r="A5" t="s">
        <v>839</v>
      </c>
      <c r="B5" s="3" t="s">
        <v>840</v>
      </c>
    </row>
    <row r="6" spans="1:8">
      <c r="A6" t="s">
        <v>841</v>
      </c>
      <c r="B6" s="3" t="s">
        <v>842</v>
      </c>
    </row>
    <row r="7" spans="1:8">
      <c r="A7" t="s">
        <v>843</v>
      </c>
      <c r="B7" s="3" t="s">
        <v>844</v>
      </c>
    </row>
    <row r="8" spans="1:8" ht="28">
      <c r="A8" t="s">
        <v>845</v>
      </c>
      <c r="B8" s="3" t="s">
        <v>846</v>
      </c>
    </row>
    <row r="9" spans="1:8">
      <c r="A9" t="s">
        <v>847</v>
      </c>
      <c r="B9" s="3" t="s">
        <v>848</v>
      </c>
    </row>
    <row r="10" spans="1:8">
      <c r="A10" t="s">
        <v>849</v>
      </c>
      <c r="B10" s="12">
        <v>46231.79051752315</v>
      </c>
    </row>
    <row r="11" spans="1:8">
      <c r="A11" t="s">
        <v>850</v>
      </c>
      <c r="B11" s="3" t="s">
        <v>851</v>
      </c>
    </row>
    <row r="12" spans="1:8" ht="28">
      <c r="A12" t="s">
        <v>852</v>
      </c>
      <c r="B12" s="3" t="s">
        <v>853</v>
      </c>
    </row>
    <row r="14" spans="1:8">
      <c r="A14" s="14" t="s">
        <v>854</v>
      </c>
      <c r="B14" s="14" t="s">
        <v>855</v>
      </c>
    </row>
    <row r="15" spans="1:8">
      <c r="A15" t="s">
        <v>856</v>
      </c>
      <c r="B15" s="3" t="s">
        <v>857</v>
      </c>
    </row>
    <row r="16" spans="1:8">
      <c r="A16" t="s">
        <v>858</v>
      </c>
      <c r="B16" s="3" t="s">
        <v>859</v>
      </c>
    </row>
    <row r="17" spans="1:2">
      <c r="A17" t="s">
        <v>860</v>
      </c>
      <c r="B17" s="3" t="s">
        <v>861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0"/>
  <sheetViews>
    <sheetView workbookViewId="0"/>
  </sheetViews>
  <sheetFormatPr defaultRowHeight="14"/>
  <cols>
    <col min="1" max="1" width="16" customWidth="1"/>
    <col min="2" max="2" width="12" customWidth="1"/>
    <col min="3" max="4" width="18" customWidth="1"/>
    <col min="5" max="5" width="42" customWidth="1"/>
    <col min="6" max="6" width="34" customWidth="1"/>
    <col min="7" max="7" width="38" customWidth="1"/>
    <col min="8" max="8" width="18" customWidth="1"/>
    <col min="9" max="9" width="16" customWidth="1"/>
    <col min="10" max="11" width="18" customWidth="1"/>
    <col min="12" max="12" width="26" customWidth="1"/>
    <col min="13" max="14" width="18" customWidth="1"/>
    <col min="15" max="15" width="16" customWidth="1"/>
  </cols>
  <sheetData>
    <row r="1" spans="1:15" ht="19">
      <c r="A1" s="15" t="s">
        <v>862</v>
      </c>
      <c r="B1" s="15" t="s">
        <v>862</v>
      </c>
      <c r="C1" s="15" t="s">
        <v>862</v>
      </c>
      <c r="D1" s="15" t="s">
        <v>862</v>
      </c>
      <c r="E1" s="15" t="s">
        <v>862</v>
      </c>
      <c r="F1" s="15" t="s">
        <v>862</v>
      </c>
      <c r="G1" s="15" t="s">
        <v>862</v>
      </c>
      <c r="H1" s="15" t="s">
        <v>862</v>
      </c>
      <c r="I1" s="15" t="s">
        <v>862</v>
      </c>
      <c r="J1" s="15" t="s">
        <v>862</v>
      </c>
      <c r="K1" s="15" t="s">
        <v>862</v>
      </c>
      <c r="L1" s="15" t="s">
        <v>862</v>
      </c>
      <c r="M1" s="15" t="s">
        <v>862</v>
      </c>
      <c r="N1" s="15" t="s">
        <v>862</v>
      </c>
      <c r="O1" s="15" t="s">
        <v>862</v>
      </c>
    </row>
    <row r="2" spans="1:15" ht="28">
      <c r="A2" s="11" t="s">
        <v>863</v>
      </c>
      <c r="B2" s="11" t="s">
        <v>864</v>
      </c>
      <c r="C2" s="11" t="s">
        <v>865</v>
      </c>
      <c r="D2" s="11" t="s">
        <v>866</v>
      </c>
      <c r="E2" s="11" t="s">
        <v>836</v>
      </c>
      <c r="F2" s="11" t="s">
        <v>867</v>
      </c>
      <c r="G2" s="11" t="s">
        <v>868</v>
      </c>
      <c r="H2" s="11" t="s">
        <v>869</v>
      </c>
      <c r="I2" s="11" t="s">
        <v>870</v>
      </c>
      <c r="J2" s="11" t="s">
        <v>871</v>
      </c>
      <c r="K2" s="11" t="s">
        <v>872</v>
      </c>
      <c r="L2" s="11" t="s">
        <v>873</v>
      </c>
      <c r="M2" s="11" t="s">
        <v>874</v>
      </c>
      <c r="N2" s="11" t="s">
        <v>875</v>
      </c>
      <c r="O2" s="11" t="s">
        <v>39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2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2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2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2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2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2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2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2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2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2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2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2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2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2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2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2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2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2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2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12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2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12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2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2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2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2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2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12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2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2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2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12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2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12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12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12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12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12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2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12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12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12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12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12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12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12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12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12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2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12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12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12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12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12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12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12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12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12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2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12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12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12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12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12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12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12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12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12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12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12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12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12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12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12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12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12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12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12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2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12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12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12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12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2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12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12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12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12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12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12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12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12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12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12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12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12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12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12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2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12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12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12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12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12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12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12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12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12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12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2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12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12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12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2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12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12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12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2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2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12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12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2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12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12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12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12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12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12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2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12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12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12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12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12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12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12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12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12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12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2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12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12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12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12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12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12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12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12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12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12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12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12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12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12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12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12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12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12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12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12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12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12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12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12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12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12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12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12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12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12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12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12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12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12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12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12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12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12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12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12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12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12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12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12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12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12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12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12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12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12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12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12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12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12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12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12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12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12"/>
      <c r="N200" s="3"/>
      <c r="O200" s="3"/>
    </row>
    <row r="201" spans="1: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12"/>
      <c r="N201" s="3"/>
      <c r="O201" s="3"/>
    </row>
    <row r="202" spans="1: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12"/>
      <c r="N202" s="3"/>
      <c r="O202" s="3"/>
    </row>
    <row r="203" spans="1: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12"/>
      <c r="N203" s="3"/>
      <c r="O203" s="3"/>
    </row>
    <row r="204" spans="1: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12"/>
      <c r="N204" s="3"/>
      <c r="O204" s="3"/>
    </row>
    <row r="205" spans="1: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12"/>
      <c r="N205" s="3"/>
      <c r="O205" s="3"/>
    </row>
    <row r="206" spans="1: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12"/>
      <c r="N206" s="3"/>
      <c r="O206" s="3"/>
    </row>
    <row r="207" spans="1: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12"/>
      <c r="N207" s="3"/>
      <c r="O207" s="3"/>
    </row>
    <row r="208" spans="1: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12"/>
      <c r="N208" s="3"/>
      <c r="O208" s="3"/>
    </row>
    <row r="209" spans="1: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12"/>
      <c r="N209" s="3"/>
      <c r="O209" s="3"/>
    </row>
    <row r="210" spans="1: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12"/>
      <c r="N210" s="3"/>
      <c r="O210" s="3"/>
    </row>
    <row r="211" spans="1: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12"/>
      <c r="N211" s="3"/>
      <c r="O211" s="3"/>
    </row>
    <row r="212" spans="1: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12"/>
      <c r="N212" s="3"/>
      <c r="O212" s="3"/>
    </row>
    <row r="213" spans="1: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12"/>
      <c r="N213" s="3"/>
      <c r="O213" s="3"/>
    </row>
    <row r="214" spans="1: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12"/>
      <c r="N214" s="3"/>
      <c r="O214" s="3"/>
    </row>
    <row r="215" spans="1: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12"/>
      <c r="N215" s="3"/>
      <c r="O215" s="3"/>
    </row>
    <row r="216" spans="1: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12"/>
      <c r="N216" s="3"/>
      <c r="O216" s="3"/>
    </row>
    <row r="217" spans="1: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12"/>
      <c r="N217" s="3"/>
      <c r="O217" s="3"/>
    </row>
    <row r="218" spans="1: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12"/>
      <c r="N218" s="3"/>
      <c r="O218" s="3"/>
    </row>
    <row r="219" spans="1: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12"/>
      <c r="N219" s="3"/>
      <c r="O219" s="3"/>
    </row>
    <row r="220" spans="1: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12"/>
      <c r="N220" s="3"/>
      <c r="O220" s="3"/>
    </row>
    <row r="221" spans="1: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12"/>
      <c r="N221" s="3"/>
      <c r="O221" s="3"/>
    </row>
    <row r="222" spans="1: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12"/>
      <c r="N222" s="3"/>
      <c r="O222" s="3"/>
    </row>
    <row r="223" spans="1: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12"/>
      <c r="N223" s="3"/>
      <c r="O223" s="3"/>
    </row>
    <row r="224" spans="1: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12"/>
      <c r="N224" s="3"/>
      <c r="O224" s="3"/>
    </row>
    <row r="225" spans="1: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12"/>
      <c r="N225" s="3"/>
      <c r="O225" s="3"/>
    </row>
    <row r="226" spans="1: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12"/>
      <c r="N226" s="3"/>
      <c r="O226" s="3"/>
    </row>
    <row r="227" spans="1: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12"/>
      <c r="N227" s="3"/>
      <c r="O227" s="3"/>
    </row>
    <row r="228" spans="1: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12"/>
      <c r="N228" s="3"/>
      <c r="O228" s="3"/>
    </row>
    <row r="229" spans="1: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12"/>
      <c r="N229" s="3"/>
      <c r="O229" s="3"/>
    </row>
    <row r="230" spans="1: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12"/>
      <c r="N230" s="3"/>
      <c r="O230" s="3"/>
    </row>
    <row r="231" spans="1: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12"/>
      <c r="N231" s="3"/>
      <c r="O231" s="3"/>
    </row>
    <row r="232" spans="1: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12"/>
      <c r="N232" s="3"/>
      <c r="O232" s="3"/>
    </row>
    <row r="233" spans="1: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12"/>
      <c r="N233" s="3"/>
      <c r="O233" s="3"/>
    </row>
    <row r="234" spans="1: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12"/>
      <c r="N234" s="3"/>
      <c r="O234" s="3"/>
    </row>
    <row r="235" spans="1: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12"/>
      <c r="N235" s="3"/>
      <c r="O235" s="3"/>
    </row>
    <row r="236" spans="1: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12"/>
      <c r="N236" s="3"/>
      <c r="O236" s="3"/>
    </row>
    <row r="237" spans="1: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12"/>
      <c r="N237" s="3"/>
      <c r="O237" s="3"/>
    </row>
    <row r="238" spans="1: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12"/>
      <c r="N238" s="3"/>
      <c r="O238" s="3"/>
    </row>
    <row r="239" spans="1: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12"/>
      <c r="N239" s="3"/>
      <c r="O239" s="3"/>
    </row>
    <row r="240" spans="1: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12"/>
      <c r="N240" s="3"/>
      <c r="O240" s="3"/>
    </row>
    <row r="241" spans="1: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12"/>
      <c r="N241" s="3"/>
      <c r="O241" s="3"/>
    </row>
    <row r="242" spans="1: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12"/>
      <c r="N242" s="3"/>
      <c r="O242" s="3"/>
    </row>
    <row r="243" spans="1: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12"/>
      <c r="N243" s="3"/>
      <c r="O243" s="3"/>
    </row>
    <row r="244" spans="1: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12"/>
      <c r="N244" s="3"/>
      <c r="O244" s="3"/>
    </row>
    <row r="245" spans="1: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12"/>
      <c r="N245" s="3"/>
      <c r="O245" s="3"/>
    </row>
    <row r="246" spans="1: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12"/>
      <c r="N246" s="3"/>
      <c r="O246" s="3"/>
    </row>
    <row r="247" spans="1: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12"/>
      <c r="N247" s="3"/>
      <c r="O247" s="3"/>
    </row>
    <row r="248" spans="1: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12"/>
      <c r="N248" s="3"/>
      <c r="O248" s="3"/>
    </row>
    <row r="249" spans="1: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12"/>
      <c r="N249" s="3"/>
      <c r="O249" s="3"/>
    </row>
    <row r="250" spans="1: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12"/>
      <c r="N250" s="3"/>
      <c r="O250" s="3"/>
    </row>
    <row r="251" spans="1: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12"/>
      <c r="N251" s="3"/>
      <c r="O251" s="3"/>
    </row>
    <row r="252" spans="1: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12"/>
      <c r="N252" s="3"/>
      <c r="O252" s="3"/>
    </row>
    <row r="253" spans="1: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12"/>
      <c r="N253" s="3"/>
      <c r="O253" s="3"/>
    </row>
    <row r="254" spans="1: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12"/>
      <c r="N254" s="3"/>
      <c r="O254" s="3"/>
    </row>
    <row r="255" spans="1: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12"/>
      <c r="N255" s="3"/>
      <c r="O255" s="3"/>
    </row>
    <row r="256" spans="1: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12"/>
      <c r="N256" s="3"/>
      <c r="O256" s="3"/>
    </row>
    <row r="257" spans="1: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12"/>
      <c r="N257" s="3"/>
      <c r="O257" s="3"/>
    </row>
    <row r="258" spans="1: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12"/>
      <c r="N258" s="3"/>
      <c r="O258" s="3"/>
    </row>
    <row r="259" spans="1: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12"/>
      <c r="N259" s="3"/>
      <c r="O259" s="3"/>
    </row>
    <row r="260" spans="1: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12"/>
      <c r="N260" s="3"/>
      <c r="O260" s="3"/>
    </row>
    <row r="261" spans="1: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12"/>
      <c r="N261" s="3"/>
      <c r="O261" s="3"/>
    </row>
    <row r="262" spans="1: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12"/>
      <c r="N262" s="3"/>
      <c r="O262" s="3"/>
    </row>
    <row r="263" spans="1: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12"/>
      <c r="N263" s="3"/>
      <c r="O263" s="3"/>
    </row>
    <row r="264" spans="1: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12"/>
      <c r="N264" s="3"/>
      <c r="O264" s="3"/>
    </row>
    <row r="265" spans="1: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12"/>
      <c r="N265" s="3"/>
      <c r="O265" s="3"/>
    </row>
    <row r="266" spans="1: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12"/>
      <c r="N266" s="3"/>
      <c r="O266" s="3"/>
    </row>
    <row r="267" spans="1: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12"/>
      <c r="N267" s="3"/>
      <c r="O267" s="3"/>
    </row>
    <row r="268" spans="1: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12"/>
      <c r="N268" s="3"/>
      <c r="O268" s="3"/>
    </row>
    <row r="269" spans="1: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12"/>
      <c r="N269" s="3"/>
      <c r="O269" s="3"/>
    </row>
    <row r="270" spans="1: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12"/>
      <c r="N270" s="3"/>
      <c r="O270" s="3"/>
    </row>
    <row r="271" spans="1: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12"/>
      <c r="N271" s="3"/>
      <c r="O271" s="3"/>
    </row>
    <row r="272" spans="1: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12"/>
      <c r="N272" s="3"/>
      <c r="O272" s="3"/>
    </row>
    <row r="273" spans="1: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12"/>
      <c r="N273" s="3"/>
      <c r="O273" s="3"/>
    </row>
    <row r="274" spans="1: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12"/>
      <c r="N274" s="3"/>
      <c r="O274" s="3"/>
    </row>
    <row r="275" spans="1: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12"/>
      <c r="N275" s="3"/>
      <c r="O275" s="3"/>
    </row>
    <row r="276" spans="1: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12"/>
      <c r="N276" s="3"/>
      <c r="O276" s="3"/>
    </row>
    <row r="277" spans="1: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12"/>
      <c r="N277" s="3"/>
      <c r="O277" s="3"/>
    </row>
    <row r="278" spans="1: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12"/>
      <c r="N278" s="3"/>
      <c r="O278" s="3"/>
    </row>
    <row r="279" spans="1: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12"/>
      <c r="N279" s="3"/>
      <c r="O279" s="3"/>
    </row>
    <row r="280" spans="1: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12"/>
      <c r="N280" s="3"/>
      <c r="O280" s="3"/>
    </row>
    <row r="281" spans="1: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12"/>
      <c r="N281" s="3"/>
      <c r="O281" s="3"/>
    </row>
    <row r="282" spans="1: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12"/>
      <c r="N282" s="3"/>
      <c r="O282" s="3"/>
    </row>
    <row r="283" spans="1: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12"/>
      <c r="N283" s="3"/>
      <c r="O283" s="3"/>
    </row>
    <row r="284" spans="1: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12"/>
      <c r="N284" s="3"/>
      <c r="O284" s="3"/>
    </row>
    <row r="285" spans="1: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12"/>
      <c r="N285" s="3"/>
      <c r="O285" s="3"/>
    </row>
    <row r="286" spans="1: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12"/>
      <c r="N286" s="3"/>
      <c r="O286" s="3"/>
    </row>
    <row r="287" spans="1: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12"/>
      <c r="N287" s="3"/>
      <c r="O287" s="3"/>
    </row>
    <row r="288" spans="1: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12"/>
      <c r="N288" s="3"/>
      <c r="O288" s="3"/>
    </row>
    <row r="289" spans="1: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12"/>
      <c r="N289" s="3"/>
      <c r="O289" s="3"/>
    </row>
    <row r="290" spans="1: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12"/>
      <c r="N290" s="3"/>
      <c r="O290" s="3"/>
    </row>
    <row r="291" spans="1: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12"/>
      <c r="N291" s="3"/>
      <c r="O291" s="3"/>
    </row>
    <row r="292" spans="1: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12"/>
      <c r="N292" s="3"/>
      <c r="O292" s="3"/>
    </row>
    <row r="293" spans="1: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12"/>
      <c r="N293" s="3"/>
      <c r="O293" s="3"/>
    </row>
    <row r="294" spans="1: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12"/>
      <c r="N294" s="3"/>
      <c r="O294" s="3"/>
    </row>
    <row r="295" spans="1: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12"/>
      <c r="N295" s="3"/>
      <c r="O295" s="3"/>
    </row>
    <row r="296" spans="1: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12"/>
      <c r="N296" s="3"/>
      <c r="O296" s="3"/>
    </row>
    <row r="297" spans="1: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12"/>
      <c r="N297" s="3"/>
      <c r="O297" s="3"/>
    </row>
    <row r="298" spans="1: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12"/>
      <c r="N298" s="3"/>
      <c r="O298" s="3"/>
    </row>
    <row r="299" spans="1: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12"/>
      <c r="N299" s="3"/>
      <c r="O299" s="3"/>
    </row>
    <row r="300" spans="1: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12"/>
      <c r="N300" s="3"/>
      <c r="O300" s="3"/>
    </row>
    <row r="301" spans="1: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12"/>
      <c r="N301" s="3"/>
      <c r="O301" s="3"/>
    </row>
    <row r="302" spans="1: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12"/>
      <c r="N302" s="3"/>
      <c r="O302" s="3"/>
    </row>
    <row r="303" spans="1: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12"/>
      <c r="N303" s="3"/>
      <c r="O303" s="3"/>
    </row>
    <row r="304" spans="1: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12"/>
      <c r="N304" s="3"/>
      <c r="O304" s="3"/>
    </row>
    <row r="305" spans="1: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12"/>
      <c r="N305" s="3"/>
      <c r="O305" s="3"/>
    </row>
    <row r="306" spans="1: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12"/>
      <c r="N306" s="3"/>
      <c r="O306" s="3"/>
    </row>
    <row r="307" spans="1: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12"/>
      <c r="N307" s="3"/>
      <c r="O307" s="3"/>
    </row>
    <row r="308" spans="1: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12"/>
      <c r="N308" s="3"/>
      <c r="O308" s="3"/>
    </row>
    <row r="309" spans="1: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12"/>
      <c r="N309" s="3"/>
      <c r="O309" s="3"/>
    </row>
    <row r="310" spans="1: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12"/>
      <c r="N310" s="3"/>
      <c r="O310" s="3"/>
    </row>
    <row r="311" spans="1: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12"/>
      <c r="N311" s="3"/>
      <c r="O311" s="3"/>
    </row>
    <row r="312" spans="1: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12"/>
      <c r="N312" s="3"/>
      <c r="O312" s="3"/>
    </row>
    <row r="313" spans="1: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12"/>
      <c r="N313" s="3"/>
      <c r="O313" s="3"/>
    </row>
    <row r="314" spans="1: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12"/>
      <c r="N314" s="3"/>
      <c r="O314" s="3"/>
    </row>
    <row r="315" spans="1: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12"/>
      <c r="N315" s="3"/>
      <c r="O315" s="3"/>
    </row>
    <row r="316" spans="1: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12"/>
      <c r="N316" s="3"/>
      <c r="O316" s="3"/>
    </row>
    <row r="317" spans="1: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12"/>
      <c r="N317" s="3"/>
      <c r="O317" s="3"/>
    </row>
    <row r="318" spans="1: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12"/>
      <c r="N318" s="3"/>
      <c r="O318" s="3"/>
    </row>
    <row r="319" spans="1: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12"/>
      <c r="N319" s="3"/>
      <c r="O319" s="3"/>
    </row>
    <row r="320" spans="1: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12"/>
      <c r="N320" s="3"/>
      <c r="O320" s="3"/>
    </row>
    <row r="321" spans="1: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12"/>
      <c r="N321" s="3"/>
      <c r="O321" s="3"/>
    </row>
    <row r="322" spans="1: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12"/>
      <c r="N322" s="3"/>
      <c r="O322" s="3"/>
    </row>
    <row r="323" spans="1: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12"/>
      <c r="N323" s="3"/>
      <c r="O323" s="3"/>
    </row>
    <row r="324" spans="1: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12"/>
      <c r="N324" s="3"/>
      <c r="O324" s="3"/>
    </row>
    <row r="325" spans="1: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12"/>
      <c r="N325" s="3"/>
      <c r="O325" s="3"/>
    </row>
    <row r="326" spans="1: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12"/>
      <c r="N326" s="3"/>
      <c r="O326" s="3"/>
    </row>
    <row r="327" spans="1: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12"/>
      <c r="N327" s="3"/>
      <c r="O327" s="3"/>
    </row>
    <row r="328" spans="1: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12"/>
      <c r="N328" s="3"/>
      <c r="O328" s="3"/>
    </row>
    <row r="329" spans="1: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12"/>
      <c r="N329" s="3"/>
      <c r="O329" s="3"/>
    </row>
    <row r="330" spans="1: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12"/>
      <c r="N330" s="3"/>
      <c r="O330" s="3"/>
    </row>
    <row r="331" spans="1: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12"/>
      <c r="N331" s="3"/>
      <c r="O331" s="3"/>
    </row>
    <row r="332" spans="1: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12"/>
      <c r="N332" s="3"/>
      <c r="O332" s="3"/>
    </row>
    <row r="333" spans="1: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12"/>
      <c r="N333" s="3"/>
      <c r="O333" s="3"/>
    </row>
    <row r="334" spans="1: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12"/>
      <c r="N334" s="3"/>
      <c r="O334" s="3"/>
    </row>
    <row r="335" spans="1: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12"/>
      <c r="N335" s="3"/>
      <c r="O335" s="3"/>
    </row>
    <row r="336" spans="1: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12"/>
      <c r="N336" s="3"/>
      <c r="O336" s="3"/>
    </row>
    <row r="337" spans="1: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12"/>
      <c r="N337" s="3"/>
      <c r="O337" s="3"/>
    </row>
    <row r="338" spans="1: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12"/>
      <c r="N338" s="3"/>
      <c r="O338" s="3"/>
    </row>
    <row r="339" spans="1: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12"/>
      <c r="N339" s="3"/>
      <c r="O339" s="3"/>
    </row>
    <row r="340" spans="1: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12"/>
      <c r="N340" s="3"/>
      <c r="O340" s="3"/>
    </row>
    <row r="341" spans="1: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12"/>
      <c r="N341" s="3"/>
      <c r="O341" s="3"/>
    </row>
    <row r="342" spans="1: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12"/>
      <c r="N342" s="3"/>
      <c r="O342" s="3"/>
    </row>
    <row r="343" spans="1: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12"/>
      <c r="N343" s="3"/>
      <c r="O343" s="3"/>
    </row>
    <row r="344" spans="1: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12"/>
      <c r="N344" s="3"/>
      <c r="O344" s="3"/>
    </row>
    <row r="345" spans="1: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12"/>
      <c r="N345" s="3"/>
      <c r="O345" s="3"/>
    </row>
    <row r="346" spans="1: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12"/>
      <c r="N346" s="3"/>
      <c r="O346" s="3"/>
    </row>
    <row r="347" spans="1: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12"/>
      <c r="N347" s="3"/>
      <c r="O347" s="3"/>
    </row>
    <row r="348" spans="1: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12"/>
      <c r="N348" s="3"/>
      <c r="O348" s="3"/>
    </row>
    <row r="349" spans="1: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12"/>
      <c r="N349" s="3"/>
      <c r="O349" s="3"/>
    </row>
    <row r="350" spans="1: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12"/>
      <c r="N350" s="3"/>
      <c r="O350" s="3"/>
    </row>
    <row r="351" spans="1: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12"/>
      <c r="N351" s="3"/>
      <c r="O351" s="3"/>
    </row>
    <row r="352" spans="1: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12"/>
      <c r="N352" s="3"/>
      <c r="O352" s="3"/>
    </row>
    <row r="353" spans="1: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12"/>
      <c r="N353" s="3"/>
      <c r="O353" s="3"/>
    </row>
    <row r="354" spans="1: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12"/>
      <c r="N354" s="3"/>
      <c r="O354" s="3"/>
    </row>
    <row r="355" spans="1: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12"/>
      <c r="N355" s="3"/>
      <c r="O355" s="3"/>
    </row>
    <row r="356" spans="1: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12"/>
      <c r="N356" s="3"/>
      <c r="O356" s="3"/>
    </row>
    <row r="357" spans="1: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12"/>
      <c r="N357" s="3"/>
      <c r="O357" s="3"/>
    </row>
    <row r="358" spans="1: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12"/>
      <c r="N358" s="3"/>
      <c r="O358" s="3"/>
    </row>
    <row r="359" spans="1: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12"/>
      <c r="N359" s="3"/>
      <c r="O359" s="3"/>
    </row>
    <row r="360" spans="1: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12"/>
      <c r="N360" s="3"/>
      <c r="O360" s="3"/>
    </row>
    <row r="361" spans="1: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12"/>
      <c r="N361" s="3"/>
      <c r="O361" s="3"/>
    </row>
    <row r="362" spans="1: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12"/>
      <c r="N362" s="3"/>
      <c r="O362" s="3"/>
    </row>
    <row r="363" spans="1: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12"/>
      <c r="N363" s="3"/>
      <c r="O363" s="3"/>
    </row>
    <row r="364" spans="1: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12"/>
      <c r="N364" s="3"/>
      <c r="O364" s="3"/>
    </row>
    <row r="365" spans="1: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12"/>
      <c r="N365" s="3"/>
      <c r="O365" s="3"/>
    </row>
    <row r="366" spans="1: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12"/>
      <c r="N366" s="3"/>
      <c r="O366" s="3"/>
    </row>
    <row r="367" spans="1: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12"/>
      <c r="N367" s="3"/>
      <c r="O367" s="3"/>
    </row>
    <row r="368" spans="1: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12"/>
      <c r="N368" s="3"/>
      <c r="O368" s="3"/>
    </row>
    <row r="369" spans="1: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12"/>
      <c r="N369" s="3"/>
      <c r="O369" s="3"/>
    </row>
    <row r="370" spans="1: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12"/>
      <c r="N370" s="3"/>
      <c r="O370" s="3"/>
    </row>
    <row r="371" spans="1: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12"/>
      <c r="N371" s="3"/>
      <c r="O371" s="3"/>
    </row>
    <row r="372" spans="1: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12"/>
      <c r="N372" s="3"/>
      <c r="O372" s="3"/>
    </row>
    <row r="373" spans="1: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12"/>
      <c r="N373" s="3"/>
      <c r="O373" s="3"/>
    </row>
    <row r="374" spans="1: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12"/>
      <c r="N374" s="3"/>
      <c r="O374" s="3"/>
    </row>
    <row r="375" spans="1: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12"/>
      <c r="N375" s="3"/>
      <c r="O375" s="3"/>
    </row>
    <row r="376" spans="1: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12"/>
      <c r="N376" s="3"/>
      <c r="O376" s="3"/>
    </row>
    <row r="377" spans="1: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12"/>
      <c r="N377" s="3"/>
      <c r="O377" s="3"/>
    </row>
    <row r="378" spans="1: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12"/>
      <c r="N378" s="3"/>
      <c r="O378" s="3"/>
    </row>
    <row r="379" spans="1: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12"/>
      <c r="N379" s="3"/>
      <c r="O379" s="3"/>
    </row>
    <row r="380" spans="1: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12"/>
      <c r="N380" s="3"/>
      <c r="O380" s="3"/>
    </row>
    <row r="381" spans="1: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12"/>
      <c r="N381" s="3"/>
      <c r="O381" s="3"/>
    </row>
    <row r="382" spans="1: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12"/>
      <c r="N382" s="3"/>
      <c r="O382" s="3"/>
    </row>
    <row r="383" spans="1: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12"/>
      <c r="N383" s="3"/>
      <c r="O383" s="3"/>
    </row>
    <row r="384" spans="1: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12"/>
      <c r="N384" s="3"/>
      <c r="O384" s="3"/>
    </row>
    <row r="385" spans="1: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12"/>
      <c r="N385" s="3"/>
      <c r="O385" s="3"/>
    </row>
    <row r="386" spans="1: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12"/>
      <c r="N386" s="3"/>
      <c r="O386" s="3"/>
    </row>
    <row r="387" spans="1: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12"/>
      <c r="N387" s="3"/>
      <c r="O387" s="3"/>
    </row>
    <row r="388" spans="1: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12"/>
      <c r="N388" s="3"/>
      <c r="O388" s="3"/>
    </row>
    <row r="389" spans="1: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12"/>
      <c r="N389" s="3"/>
      <c r="O389" s="3"/>
    </row>
    <row r="390" spans="1: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12"/>
      <c r="N390" s="3"/>
      <c r="O390" s="3"/>
    </row>
    <row r="391" spans="1: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12"/>
      <c r="N391" s="3"/>
      <c r="O391" s="3"/>
    </row>
    <row r="392" spans="1: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12"/>
      <c r="N392" s="3"/>
      <c r="O392" s="3"/>
    </row>
    <row r="393" spans="1: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12"/>
      <c r="N393" s="3"/>
      <c r="O393" s="3"/>
    </row>
    <row r="394" spans="1: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12"/>
      <c r="N394" s="3"/>
      <c r="O394" s="3"/>
    </row>
    <row r="395" spans="1: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12"/>
      <c r="N395" s="3"/>
      <c r="O395" s="3"/>
    </row>
    <row r="396" spans="1: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12"/>
      <c r="N396" s="3"/>
      <c r="O396" s="3"/>
    </row>
    <row r="397" spans="1: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12"/>
      <c r="N397" s="3"/>
      <c r="O397" s="3"/>
    </row>
    <row r="398" spans="1: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12"/>
      <c r="N398" s="3"/>
      <c r="O398" s="3"/>
    </row>
    <row r="399" spans="1: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12"/>
      <c r="N399" s="3"/>
      <c r="O399" s="3"/>
    </row>
    <row r="400" spans="1: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12"/>
      <c r="N400" s="3"/>
      <c r="O400" s="3"/>
    </row>
    <row r="401" spans="1: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12"/>
      <c r="N401" s="3"/>
      <c r="O401" s="3"/>
    </row>
    <row r="402" spans="1: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12"/>
      <c r="N402" s="3"/>
      <c r="O402" s="3"/>
    </row>
    <row r="403" spans="1: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12"/>
      <c r="N403" s="3"/>
      <c r="O403" s="3"/>
    </row>
    <row r="404" spans="1: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12"/>
      <c r="N404" s="3"/>
      <c r="O404" s="3"/>
    </row>
    <row r="405" spans="1: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12"/>
      <c r="N405" s="3"/>
      <c r="O405" s="3"/>
    </row>
    <row r="406" spans="1: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12"/>
      <c r="N406" s="3"/>
      <c r="O406" s="3"/>
    </row>
    <row r="407" spans="1: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12"/>
      <c r="N407" s="3"/>
      <c r="O407" s="3"/>
    </row>
    <row r="408" spans="1: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12"/>
      <c r="N408" s="3"/>
      <c r="O408" s="3"/>
    </row>
    <row r="409" spans="1: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12"/>
      <c r="N409" s="3"/>
      <c r="O409" s="3"/>
    </row>
    <row r="410" spans="1: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12"/>
      <c r="N410" s="3"/>
      <c r="O410" s="3"/>
    </row>
    <row r="411" spans="1: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12"/>
      <c r="N411" s="3"/>
      <c r="O411" s="3"/>
    </row>
    <row r="412" spans="1: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12"/>
      <c r="N412" s="3"/>
      <c r="O412" s="3"/>
    </row>
    <row r="413" spans="1: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12"/>
      <c r="N413" s="3"/>
      <c r="O413" s="3"/>
    </row>
    <row r="414" spans="1: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12"/>
      <c r="N414" s="3"/>
      <c r="O414" s="3"/>
    </row>
    <row r="415" spans="1: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12"/>
      <c r="N415" s="3"/>
      <c r="O415" s="3"/>
    </row>
    <row r="416" spans="1: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12"/>
      <c r="N416" s="3"/>
      <c r="O416" s="3"/>
    </row>
    <row r="417" spans="1: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12"/>
      <c r="N417" s="3"/>
      <c r="O417" s="3"/>
    </row>
    <row r="418" spans="1: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12"/>
      <c r="N418" s="3"/>
      <c r="O418" s="3"/>
    </row>
    <row r="419" spans="1: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12"/>
      <c r="N419" s="3"/>
      <c r="O419" s="3"/>
    </row>
    <row r="420" spans="1: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12"/>
      <c r="N420" s="3"/>
      <c r="O420" s="3"/>
    </row>
    <row r="421" spans="1: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12"/>
      <c r="N421" s="3"/>
      <c r="O421" s="3"/>
    </row>
    <row r="422" spans="1: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12"/>
      <c r="N422" s="3"/>
      <c r="O422" s="3"/>
    </row>
    <row r="423" spans="1: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12"/>
      <c r="N423" s="3"/>
      <c r="O423" s="3"/>
    </row>
    <row r="424" spans="1: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12"/>
      <c r="N424" s="3"/>
      <c r="O424" s="3"/>
    </row>
    <row r="425" spans="1: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12"/>
      <c r="N425" s="3"/>
      <c r="O425" s="3"/>
    </row>
    <row r="426" spans="1: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12"/>
      <c r="N426" s="3"/>
      <c r="O426" s="3"/>
    </row>
    <row r="427" spans="1: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12"/>
      <c r="N427" s="3"/>
      <c r="O427" s="3"/>
    </row>
    <row r="428" spans="1: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12"/>
      <c r="N428" s="3"/>
      <c r="O428" s="3"/>
    </row>
    <row r="429" spans="1: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12"/>
      <c r="N429" s="3"/>
      <c r="O429" s="3"/>
    </row>
    <row r="430" spans="1: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12"/>
      <c r="N430" s="3"/>
      <c r="O430" s="3"/>
    </row>
    <row r="431" spans="1: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12"/>
      <c r="N431" s="3"/>
      <c r="O431" s="3"/>
    </row>
    <row r="432" spans="1: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12"/>
      <c r="N432" s="3"/>
      <c r="O432" s="3"/>
    </row>
    <row r="433" spans="1: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12"/>
      <c r="N433" s="3"/>
      <c r="O433" s="3"/>
    </row>
    <row r="434" spans="1: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12"/>
      <c r="N434" s="3"/>
      <c r="O434" s="3"/>
    </row>
    <row r="435" spans="1: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12"/>
      <c r="N435" s="3"/>
      <c r="O435" s="3"/>
    </row>
    <row r="436" spans="1: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12"/>
      <c r="N436" s="3"/>
      <c r="O436" s="3"/>
    </row>
    <row r="437" spans="1: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12"/>
      <c r="N437" s="3"/>
      <c r="O437" s="3"/>
    </row>
    <row r="438" spans="1: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12"/>
      <c r="N438" s="3"/>
      <c r="O438" s="3"/>
    </row>
    <row r="439" spans="1: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12"/>
      <c r="N439" s="3"/>
      <c r="O439" s="3"/>
    </row>
    <row r="440" spans="1: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12"/>
      <c r="N440" s="3"/>
      <c r="O440" s="3"/>
    </row>
    <row r="441" spans="1: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12"/>
      <c r="N441" s="3"/>
      <c r="O441" s="3"/>
    </row>
    <row r="442" spans="1: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12"/>
      <c r="N442" s="3"/>
      <c r="O442" s="3"/>
    </row>
    <row r="443" spans="1: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12"/>
      <c r="N443" s="3"/>
      <c r="O443" s="3"/>
    </row>
    <row r="444" spans="1: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12"/>
      <c r="N444" s="3"/>
      <c r="O444" s="3"/>
    </row>
    <row r="445" spans="1: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12"/>
      <c r="N445" s="3"/>
      <c r="O445" s="3"/>
    </row>
    <row r="446" spans="1: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12"/>
      <c r="N446" s="3"/>
      <c r="O446" s="3"/>
    </row>
    <row r="447" spans="1: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12"/>
      <c r="N447" s="3"/>
      <c r="O447" s="3"/>
    </row>
    <row r="448" spans="1: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12"/>
      <c r="N448" s="3"/>
      <c r="O448" s="3"/>
    </row>
    <row r="449" spans="1: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12"/>
      <c r="N449" s="3"/>
      <c r="O449" s="3"/>
    </row>
    <row r="450" spans="1: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12"/>
      <c r="N450" s="3"/>
      <c r="O450" s="3"/>
    </row>
    <row r="451" spans="1: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12"/>
      <c r="N451" s="3"/>
      <c r="O451" s="3"/>
    </row>
    <row r="452" spans="1: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12"/>
      <c r="N452" s="3"/>
      <c r="O452" s="3"/>
    </row>
    <row r="453" spans="1: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12"/>
      <c r="N453" s="3"/>
      <c r="O453" s="3"/>
    </row>
    <row r="454" spans="1: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12"/>
      <c r="N454" s="3"/>
      <c r="O454" s="3"/>
    </row>
    <row r="455" spans="1: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12"/>
      <c r="N455" s="3"/>
      <c r="O455" s="3"/>
    </row>
    <row r="456" spans="1: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12"/>
      <c r="N456" s="3"/>
      <c r="O456" s="3"/>
    </row>
    <row r="457" spans="1: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12"/>
      <c r="N457" s="3"/>
      <c r="O457" s="3"/>
    </row>
    <row r="458" spans="1: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12"/>
      <c r="N458" s="3"/>
      <c r="O458" s="3"/>
    </row>
    <row r="459" spans="1: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12"/>
      <c r="N459" s="3"/>
      <c r="O459" s="3"/>
    </row>
    <row r="460" spans="1: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12"/>
      <c r="N460" s="3"/>
      <c r="O460" s="3"/>
    </row>
    <row r="461" spans="1: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12"/>
      <c r="N461" s="3"/>
      <c r="O461" s="3"/>
    </row>
    <row r="462" spans="1: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12"/>
      <c r="N462" s="3"/>
      <c r="O462" s="3"/>
    </row>
    <row r="463" spans="1: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12"/>
      <c r="N463" s="3"/>
      <c r="O463" s="3"/>
    </row>
    <row r="464" spans="1: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12"/>
      <c r="N464" s="3"/>
      <c r="O464" s="3"/>
    </row>
    <row r="465" spans="1: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12"/>
      <c r="N465" s="3"/>
      <c r="O465" s="3"/>
    </row>
    <row r="466" spans="1: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12"/>
      <c r="N466" s="3"/>
      <c r="O466" s="3"/>
    </row>
    <row r="467" spans="1: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12"/>
      <c r="N467" s="3"/>
      <c r="O467" s="3"/>
    </row>
    <row r="468" spans="1: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12"/>
      <c r="N468" s="3"/>
      <c r="O468" s="3"/>
    </row>
    <row r="469" spans="1: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12"/>
      <c r="N469" s="3"/>
      <c r="O469" s="3"/>
    </row>
    <row r="470" spans="1: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12"/>
      <c r="N470" s="3"/>
      <c r="O470" s="3"/>
    </row>
    <row r="471" spans="1: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12"/>
      <c r="N471" s="3"/>
      <c r="O471" s="3"/>
    </row>
    <row r="472" spans="1: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12"/>
      <c r="N472" s="3"/>
      <c r="O472" s="3"/>
    </row>
    <row r="473" spans="1: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12"/>
      <c r="N473" s="3"/>
      <c r="O473" s="3"/>
    </row>
    <row r="474" spans="1: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12"/>
      <c r="N474" s="3"/>
      <c r="O474" s="3"/>
    </row>
    <row r="475" spans="1: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12"/>
      <c r="N475" s="3"/>
      <c r="O475" s="3"/>
    </row>
    <row r="476" spans="1: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12"/>
      <c r="N476" s="3"/>
      <c r="O476" s="3"/>
    </row>
    <row r="477" spans="1: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12"/>
      <c r="N477" s="3"/>
      <c r="O477" s="3"/>
    </row>
    <row r="478" spans="1: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12"/>
      <c r="N478" s="3"/>
      <c r="O478" s="3"/>
    </row>
    <row r="479" spans="1: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12"/>
      <c r="N479" s="3"/>
      <c r="O479" s="3"/>
    </row>
    <row r="480" spans="1: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12"/>
      <c r="N480" s="3"/>
      <c r="O480" s="3"/>
    </row>
    <row r="481" spans="1: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12"/>
      <c r="N481" s="3"/>
      <c r="O481" s="3"/>
    </row>
    <row r="482" spans="1: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12"/>
      <c r="N482" s="3"/>
      <c r="O482" s="3"/>
    </row>
    <row r="483" spans="1: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12"/>
      <c r="N483" s="3"/>
      <c r="O483" s="3"/>
    </row>
    <row r="484" spans="1: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12"/>
      <c r="N484" s="3"/>
      <c r="O484" s="3"/>
    </row>
    <row r="485" spans="1: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12"/>
      <c r="N485" s="3"/>
      <c r="O485" s="3"/>
    </row>
    <row r="486" spans="1: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12"/>
      <c r="N486" s="3"/>
      <c r="O486" s="3"/>
    </row>
    <row r="487" spans="1: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12"/>
      <c r="N487" s="3"/>
      <c r="O487" s="3"/>
    </row>
    <row r="488" spans="1: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12"/>
      <c r="N488" s="3"/>
      <c r="O488" s="3"/>
    </row>
    <row r="489" spans="1: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12"/>
      <c r="N489" s="3"/>
      <c r="O489" s="3"/>
    </row>
    <row r="490" spans="1: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12"/>
      <c r="N490" s="3"/>
      <c r="O490" s="3"/>
    </row>
    <row r="491" spans="1: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12"/>
      <c r="N491" s="3"/>
      <c r="O491" s="3"/>
    </row>
    <row r="492" spans="1: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12"/>
      <c r="N492" s="3"/>
      <c r="O492" s="3"/>
    </row>
    <row r="493" spans="1: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12"/>
      <c r="N493" s="3"/>
      <c r="O493" s="3"/>
    </row>
    <row r="494" spans="1: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12"/>
      <c r="N494" s="3"/>
      <c r="O494" s="3"/>
    </row>
    <row r="495" spans="1: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12"/>
      <c r="N495" s="3"/>
      <c r="O495" s="3"/>
    </row>
    <row r="496" spans="1: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12"/>
      <c r="N496" s="3"/>
      <c r="O496" s="3"/>
    </row>
    <row r="497" spans="1: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12"/>
      <c r="N497" s="3"/>
      <c r="O497" s="3"/>
    </row>
    <row r="498" spans="1: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12"/>
      <c r="N498" s="3"/>
      <c r="O498" s="3"/>
    </row>
    <row r="499" spans="1: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12"/>
      <c r="N499" s="3"/>
      <c r="O499" s="3"/>
    </row>
    <row r="500" spans="1: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12"/>
      <c r="N500" s="3"/>
      <c r="O500" s="3"/>
    </row>
  </sheetData>
  <mergeCells count="1">
    <mergeCell ref="A1:O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Listes_Controlees!$C$4:$C$8</xm:f>
          </x14:formula1>
          <xm:sqref>I3:I500</xm:sqref>
        </x14:dataValidation>
        <x14:dataValidation type="list" xr:uid="{00000000-0002-0000-0400-000001000000}">
          <x14:formula1>
            <xm:f>Listes_Controlees!$D$4:$D$7</xm:f>
          </x14:formula1>
          <xm:sqref>J3:J500</xm:sqref>
        </x14:dataValidation>
        <x14:dataValidation type="list" xr:uid="{00000000-0002-0000-0400-000002000000}">
          <x14:formula1>
            <xm:f>Listes_Controlees!$B$4:$B$9</xm:f>
          </x14:formula1>
          <xm:sqref>N3:N500</xm:sqref>
        </x14:dataValidation>
        <x14:dataValidation type="list" xr:uid="{00000000-0002-0000-0400-000003000000}">
          <x14:formula1>
            <xm:f>Listes_Controlees!$A$4:$A$8</xm:f>
          </x14:formula1>
          <xm:sqref>O3:O500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00"/>
  <sheetViews>
    <sheetView workbookViewId="0"/>
  </sheetViews>
  <sheetFormatPr defaultRowHeight="14"/>
  <cols>
    <col min="1" max="1" width="16" customWidth="1"/>
    <col min="2" max="2" width="12" customWidth="1"/>
    <col min="3" max="3" width="20" customWidth="1"/>
    <col min="4" max="4" width="26" customWidth="1"/>
    <col min="5" max="6" width="18" customWidth="1"/>
    <col min="7" max="7" width="20" customWidth="1"/>
    <col min="8" max="9" width="18" customWidth="1"/>
    <col min="10" max="11" width="14" customWidth="1"/>
    <col min="12" max="12" width="18" customWidth="1"/>
    <col min="13" max="13" width="14" customWidth="1"/>
    <col min="14" max="14" width="18" customWidth="1"/>
    <col min="15" max="15" width="34" customWidth="1"/>
    <col min="16" max="16" width="42" customWidth="1"/>
    <col min="17" max="17" width="26" customWidth="1"/>
    <col min="18" max="19" width="18" customWidth="1"/>
    <col min="20" max="20" width="16" customWidth="1"/>
  </cols>
  <sheetData>
    <row r="1" spans="1:20" ht="19">
      <c r="A1" s="15" t="s">
        <v>876</v>
      </c>
      <c r="B1" s="15" t="s">
        <v>876</v>
      </c>
      <c r="C1" s="15" t="s">
        <v>876</v>
      </c>
      <c r="D1" s="15" t="s">
        <v>876</v>
      </c>
      <c r="E1" s="15" t="s">
        <v>876</v>
      </c>
      <c r="F1" s="15" t="s">
        <v>876</v>
      </c>
      <c r="G1" s="15" t="s">
        <v>876</v>
      </c>
      <c r="H1" s="15" t="s">
        <v>876</v>
      </c>
      <c r="I1" s="15" t="s">
        <v>876</v>
      </c>
      <c r="J1" s="15" t="s">
        <v>876</v>
      </c>
      <c r="K1" s="15" t="s">
        <v>876</v>
      </c>
      <c r="L1" s="15" t="s">
        <v>876</v>
      </c>
      <c r="M1" s="15" t="s">
        <v>876</v>
      </c>
      <c r="N1" s="15" t="s">
        <v>876</v>
      </c>
      <c r="O1" s="15" t="s">
        <v>876</v>
      </c>
      <c r="P1" s="15" t="s">
        <v>876</v>
      </c>
      <c r="Q1" s="15" t="s">
        <v>876</v>
      </c>
      <c r="R1" s="15" t="s">
        <v>876</v>
      </c>
      <c r="S1" s="15" t="s">
        <v>876</v>
      </c>
      <c r="T1" s="15" t="s">
        <v>876</v>
      </c>
    </row>
    <row r="2" spans="1:20">
      <c r="A2" s="11" t="s">
        <v>877</v>
      </c>
      <c r="B2" s="11" t="s">
        <v>864</v>
      </c>
      <c r="C2" s="11" t="s">
        <v>878</v>
      </c>
      <c r="D2" s="11" t="s">
        <v>879</v>
      </c>
      <c r="E2" s="11" t="s">
        <v>880</v>
      </c>
      <c r="F2" s="11" t="s">
        <v>881</v>
      </c>
      <c r="G2" s="11" t="s">
        <v>18</v>
      </c>
      <c r="H2" s="11" t="s">
        <v>882</v>
      </c>
      <c r="I2" s="11" t="s">
        <v>883</v>
      </c>
      <c r="J2" s="11" t="s">
        <v>884</v>
      </c>
      <c r="K2" s="11" t="s">
        <v>885</v>
      </c>
      <c r="L2" s="11" t="s">
        <v>886</v>
      </c>
      <c r="M2" s="11" t="s">
        <v>887</v>
      </c>
      <c r="N2" s="11" t="s">
        <v>888</v>
      </c>
      <c r="O2" s="11" t="s">
        <v>889</v>
      </c>
      <c r="P2" s="11" t="s">
        <v>890</v>
      </c>
      <c r="Q2" s="11" t="s">
        <v>873</v>
      </c>
      <c r="R2" s="11" t="s">
        <v>874</v>
      </c>
      <c r="S2" s="11" t="s">
        <v>875</v>
      </c>
      <c r="T2" s="11" t="s">
        <v>39</v>
      </c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2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2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2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12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2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2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2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2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12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2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2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2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2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2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2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2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2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2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2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2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12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2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2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2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2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2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2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12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2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2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2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2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2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2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2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2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2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2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2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2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2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2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2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2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2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12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12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12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12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12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12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12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12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12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12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12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12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12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12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12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12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12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12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12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12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12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2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2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2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2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2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2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2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2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2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2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2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2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2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2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2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2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2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2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2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2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2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2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2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2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2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2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2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2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12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2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2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2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12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12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2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12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12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2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12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2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2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2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2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2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2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2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12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2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2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2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2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2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12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12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2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12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12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12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12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12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12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12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12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12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12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12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12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12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12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12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12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12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12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12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12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12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12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12"/>
      <c r="S147" s="3"/>
      <c r="T147" s="3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12"/>
      <c r="S148" s="3"/>
      <c r="T148" s="3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12"/>
      <c r="S149" s="3"/>
      <c r="T149" s="3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12"/>
      <c r="S150" s="3"/>
      <c r="T150" s="3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12"/>
      <c r="S151" s="3"/>
      <c r="T151" s="3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12"/>
      <c r="S152" s="3"/>
      <c r="T152" s="3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2"/>
      <c r="S153" s="3"/>
      <c r="T153" s="3"/>
    </row>
    <row r="154" spans="1:2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2"/>
      <c r="S154" s="3"/>
      <c r="T154" s="3"/>
    </row>
    <row r="155" spans="1:2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12"/>
      <c r="S155" s="3"/>
      <c r="T155" s="3"/>
    </row>
    <row r="156" spans="1:2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12"/>
      <c r="S156" s="3"/>
      <c r="T156" s="3"/>
    </row>
    <row r="157" spans="1:2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12"/>
      <c r="S157" s="3"/>
      <c r="T157" s="3"/>
    </row>
    <row r="158" spans="1:2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12"/>
      <c r="S158" s="3"/>
      <c r="T158" s="3"/>
    </row>
    <row r="159" spans="1:2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12"/>
      <c r="S159" s="3"/>
      <c r="T159" s="3"/>
    </row>
    <row r="160" spans="1:2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12"/>
      <c r="S160" s="3"/>
      <c r="T160" s="3"/>
    </row>
    <row r="161" spans="1:2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12"/>
      <c r="S161" s="3"/>
      <c r="T161" s="3"/>
    </row>
    <row r="162" spans="1:2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12"/>
      <c r="S162" s="3"/>
      <c r="T162" s="3"/>
    </row>
    <row r="163" spans="1:2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12"/>
      <c r="S163" s="3"/>
      <c r="T163" s="3"/>
    </row>
    <row r="164" spans="1:2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12"/>
      <c r="S164" s="3"/>
      <c r="T164" s="3"/>
    </row>
    <row r="165" spans="1:2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12"/>
      <c r="S165" s="3"/>
      <c r="T165" s="3"/>
    </row>
    <row r="166" spans="1:2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12"/>
      <c r="S166" s="3"/>
      <c r="T166" s="3"/>
    </row>
    <row r="167" spans="1:2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12"/>
      <c r="S167" s="3"/>
      <c r="T167" s="3"/>
    </row>
    <row r="168" spans="1:2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12"/>
      <c r="S168" s="3"/>
      <c r="T168" s="3"/>
    </row>
    <row r="169" spans="1:2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12"/>
      <c r="S169" s="3"/>
      <c r="T169" s="3"/>
    </row>
    <row r="170" spans="1:2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12"/>
      <c r="S170" s="3"/>
      <c r="T170" s="3"/>
    </row>
    <row r="171" spans="1:2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12"/>
      <c r="S171" s="3"/>
      <c r="T171" s="3"/>
    </row>
    <row r="172" spans="1:2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12"/>
      <c r="S172" s="3"/>
      <c r="T172" s="3"/>
    </row>
    <row r="173" spans="1:2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12"/>
      <c r="S173" s="3"/>
      <c r="T173" s="3"/>
    </row>
    <row r="174" spans="1:2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12"/>
      <c r="S174" s="3"/>
      <c r="T174" s="3"/>
    </row>
    <row r="175" spans="1:2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12"/>
      <c r="S175" s="3"/>
      <c r="T175" s="3"/>
    </row>
    <row r="176" spans="1:2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12"/>
      <c r="S176" s="3"/>
      <c r="T176" s="3"/>
    </row>
    <row r="177" spans="1:2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12"/>
      <c r="S177" s="3"/>
      <c r="T177" s="3"/>
    </row>
    <row r="178" spans="1:2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12"/>
      <c r="S178" s="3"/>
      <c r="T178" s="3"/>
    </row>
    <row r="179" spans="1:2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12"/>
      <c r="S179" s="3"/>
      <c r="T179" s="3"/>
    </row>
    <row r="180" spans="1:2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12"/>
      <c r="S180" s="3"/>
      <c r="T180" s="3"/>
    </row>
    <row r="181" spans="1:20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12"/>
      <c r="S181" s="3"/>
      <c r="T181" s="3"/>
    </row>
    <row r="182" spans="1:20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12"/>
      <c r="S182" s="3"/>
      <c r="T182" s="3"/>
    </row>
    <row r="183" spans="1:20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12"/>
      <c r="S183" s="3"/>
      <c r="T183" s="3"/>
    </row>
    <row r="184" spans="1:2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12"/>
      <c r="S184" s="3"/>
      <c r="T184" s="3"/>
    </row>
    <row r="185" spans="1:20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12"/>
      <c r="S185" s="3"/>
      <c r="T185" s="3"/>
    </row>
    <row r="186" spans="1:20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12"/>
      <c r="S186" s="3"/>
      <c r="T186" s="3"/>
    </row>
    <row r="187" spans="1:20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12"/>
      <c r="S187" s="3"/>
      <c r="T187" s="3"/>
    </row>
    <row r="188" spans="1:20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12"/>
      <c r="S188" s="3"/>
      <c r="T188" s="3"/>
    </row>
    <row r="189" spans="1:20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12"/>
      <c r="S189" s="3"/>
      <c r="T189" s="3"/>
    </row>
    <row r="190" spans="1:2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12"/>
      <c r="S190" s="3"/>
      <c r="T190" s="3"/>
    </row>
    <row r="191" spans="1:20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2"/>
      <c r="S191" s="3"/>
      <c r="T191" s="3"/>
    </row>
    <row r="192" spans="1:2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12"/>
      <c r="S192" s="3"/>
      <c r="T192" s="3"/>
    </row>
    <row r="193" spans="1:20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12"/>
      <c r="S193" s="3"/>
      <c r="T193" s="3"/>
    </row>
    <row r="194" spans="1:20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2"/>
      <c r="S194" s="3"/>
      <c r="T194" s="3"/>
    </row>
    <row r="195" spans="1:20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12"/>
      <c r="S195" s="3"/>
      <c r="T195" s="3"/>
    </row>
    <row r="196" spans="1:20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12"/>
      <c r="S196" s="3"/>
      <c r="T196" s="3"/>
    </row>
    <row r="197" spans="1:20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12"/>
      <c r="S197" s="3"/>
      <c r="T197" s="3"/>
    </row>
    <row r="198" spans="1:20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12"/>
      <c r="S198" s="3"/>
      <c r="T198" s="3"/>
    </row>
    <row r="199" spans="1:20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12"/>
      <c r="S199" s="3"/>
      <c r="T199" s="3"/>
    </row>
    <row r="200" spans="1:2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12"/>
      <c r="S200" s="3"/>
      <c r="T200" s="3"/>
    </row>
    <row r="201" spans="1:20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12"/>
      <c r="S201" s="3"/>
      <c r="T201" s="3"/>
    </row>
    <row r="202" spans="1:20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12"/>
      <c r="S202" s="3"/>
      <c r="T202" s="3"/>
    </row>
    <row r="203" spans="1:20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12"/>
      <c r="S203" s="3"/>
      <c r="T203" s="3"/>
    </row>
    <row r="204" spans="1:20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12"/>
      <c r="S204" s="3"/>
      <c r="T204" s="3"/>
    </row>
    <row r="205" spans="1:20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12"/>
      <c r="S205" s="3"/>
      <c r="T205" s="3"/>
    </row>
    <row r="206" spans="1:20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12"/>
      <c r="S206" s="3"/>
      <c r="T206" s="3"/>
    </row>
    <row r="207" spans="1:20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12"/>
      <c r="S207" s="3"/>
      <c r="T207" s="3"/>
    </row>
    <row r="208" spans="1:2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12"/>
      <c r="S208" s="3"/>
      <c r="T208" s="3"/>
    </row>
    <row r="209" spans="1:20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12"/>
      <c r="S209" s="3"/>
      <c r="T209" s="3"/>
    </row>
    <row r="210" spans="1:2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2"/>
      <c r="S210" s="3"/>
      <c r="T210" s="3"/>
    </row>
    <row r="211" spans="1:20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12"/>
      <c r="S211" s="3"/>
      <c r="T211" s="3"/>
    </row>
    <row r="212" spans="1:20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12"/>
      <c r="S212" s="3"/>
      <c r="T212" s="3"/>
    </row>
    <row r="213" spans="1:20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12"/>
      <c r="S213" s="3"/>
      <c r="T213" s="3"/>
    </row>
    <row r="214" spans="1:20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12"/>
      <c r="S214" s="3"/>
      <c r="T214" s="3"/>
    </row>
    <row r="215" spans="1:20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2"/>
      <c r="S215" s="3"/>
      <c r="T215" s="3"/>
    </row>
    <row r="216" spans="1:20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2"/>
      <c r="S216" s="3"/>
      <c r="T216" s="3"/>
    </row>
    <row r="217" spans="1:20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12"/>
      <c r="S217" s="3"/>
      <c r="T217" s="3"/>
    </row>
    <row r="218" spans="1:20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2"/>
      <c r="S218" s="3"/>
      <c r="T218" s="3"/>
    </row>
    <row r="219" spans="1:20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2"/>
      <c r="S219" s="3"/>
      <c r="T219" s="3"/>
    </row>
    <row r="220" spans="1: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12"/>
      <c r="S220" s="3"/>
      <c r="T220" s="3"/>
    </row>
    <row r="221" spans="1:20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12"/>
      <c r="S221" s="3"/>
      <c r="T221" s="3"/>
    </row>
    <row r="222" spans="1:20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12"/>
      <c r="S222" s="3"/>
      <c r="T222" s="3"/>
    </row>
    <row r="223" spans="1:20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12"/>
      <c r="S223" s="3"/>
      <c r="T223" s="3"/>
    </row>
    <row r="224" spans="1:2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12"/>
      <c r="S224" s="3"/>
      <c r="T224" s="3"/>
    </row>
    <row r="225" spans="1:20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12"/>
      <c r="S225" s="3"/>
      <c r="T225" s="3"/>
    </row>
    <row r="226" spans="1:20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12"/>
      <c r="S226" s="3"/>
      <c r="T226" s="3"/>
    </row>
    <row r="227" spans="1:20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12"/>
      <c r="S227" s="3"/>
      <c r="T227" s="3"/>
    </row>
    <row r="228" spans="1:20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2"/>
      <c r="S228" s="3"/>
      <c r="T228" s="3"/>
    </row>
    <row r="229" spans="1:20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12"/>
      <c r="S229" s="3"/>
      <c r="T229" s="3"/>
    </row>
    <row r="230" spans="1:2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12"/>
      <c r="S230" s="3"/>
      <c r="T230" s="3"/>
    </row>
    <row r="231" spans="1:20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12"/>
      <c r="S231" s="3"/>
      <c r="T231" s="3"/>
    </row>
    <row r="232" spans="1:2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12"/>
      <c r="S232" s="3"/>
      <c r="T232" s="3"/>
    </row>
    <row r="233" spans="1:20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12"/>
      <c r="S233" s="3"/>
      <c r="T233" s="3"/>
    </row>
    <row r="234" spans="1:20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12"/>
      <c r="S234" s="3"/>
      <c r="T234" s="3"/>
    </row>
    <row r="235" spans="1:20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12"/>
      <c r="S235" s="3"/>
      <c r="T235" s="3"/>
    </row>
    <row r="236" spans="1:20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12"/>
      <c r="S236" s="3"/>
      <c r="T236" s="3"/>
    </row>
    <row r="237" spans="1:20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12"/>
      <c r="S237" s="3"/>
      <c r="T237" s="3"/>
    </row>
    <row r="238" spans="1:20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2"/>
      <c r="S238" s="3"/>
      <c r="T238" s="3"/>
    </row>
    <row r="239" spans="1:20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12"/>
      <c r="S239" s="3"/>
      <c r="T239" s="3"/>
    </row>
    <row r="240" spans="1:2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12"/>
      <c r="S240" s="3"/>
      <c r="T240" s="3"/>
    </row>
    <row r="241" spans="1:20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12"/>
      <c r="S241" s="3"/>
      <c r="T241" s="3"/>
    </row>
    <row r="242" spans="1:20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12"/>
      <c r="S242" s="3"/>
      <c r="T242" s="3"/>
    </row>
    <row r="243" spans="1:20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12"/>
      <c r="S243" s="3"/>
      <c r="T243" s="3"/>
    </row>
    <row r="244" spans="1:20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12"/>
      <c r="S244" s="3"/>
      <c r="T244" s="3"/>
    </row>
    <row r="245" spans="1:20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12"/>
      <c r="S245" s="3"/>
      <c r="T245" s="3"/>
    </row>
    <row r="246" spans="1:20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12"/>
      <c r="S246" s="3"/>
      <c r="T246" s="3"/>
    </row>
    <row r="247" spans="1:20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12"/>
      <c r="S247" s="3"/>
      <c r="T247" s="3"/>
    </row>
    <row r="248" spans="1:20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12"/>
      <c r="S248" s="3"/>
      <c r="T248" s="3"/>
    </row>
    <row r="249" spans="1:20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12"/>
      <c r="S249" s="3"/>
      <c r="T249" s="3"/>
    </row>
    <row r="250" spans="1:2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12"/>
      <c r="S250" s="3"/>
      <c r="T250" s="3"/>
    </row>
    <row r="251" spans="1:20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12"/>
      <c r="S251" s="3"/>
      <c r="T251" s="3"/>
    </row>
    <row r="252" spans="1:20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12"/>
      <c r="S252" s="3"/>
      <c r="T252" s="3"/>
    </row>
    <row r="253" spans="1:20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12"/>
      <c r="S253" s="3"/>
      <c r="T253" s="3"/>
    </row>
    <row r="254" spans="1:20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12"/>
      <c r="S254" s="3"/>
      <c r="T254" s="3"/>
    </row>
    <row r="255" spans="1:20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12"/>
      <c r="S255" s="3"/>
      <c r="T255" s="3"/>
    </row>
    <row r="256" spans="1:20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12"/>
      <c r="S256" s="3"/>
      <c r="T256" s="3"/>
    </row>
    <row r="257" spans="1:20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12"/>
      <c r="S257" s="3"/>
      <c r="T257" s="3"/>
    </row>
    <row r="258" spans="1:20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12"/>
      <c r="S258" s="3"/>
      <c r="T258" s="3"/>
    </row>
    <row r="259" spans="1:20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12"/>
      <c r="S259" s="3"/>
      <c r="T259" s="3"/>
    </row>
    <row r="260" spans="1:2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12"/>
      <c r="S260" s="3"/>
      <c r="T260" s="3"/>
    </row>
    <row r="261" spans="1:20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12"/>
      <c r="S261" s="3"/>
      <c r="T261" s="3"/>
    </row>
    <row r="262" spans="1:20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12"/>
      <c r="S262" s="3"/>
      <c r="T262" s="3"/>
    </row>
    <row r="263" spans="1:20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12"/>
      <c r="S263" s="3"/>
      <c r="T263" s="3"/>
    </row>
    <row r="264" spans="1:20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12"/>
      <c r="S264" s="3"/>
      <c r="T264" s="3"/>
    </row>
    <row r="265" spans="1:2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12"/>
      <c r="S265" s="3"/>
      <c r="T265" s="3"/>
    </row>
    <row r="266" spans="1:2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12"/>
      <c r="S266" s="3"/>
      <c r="T266" s="3"/>
    </row>
    <row r="267" spans="1:20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12"/>
      <c r="S267" s="3"/>
      <c r="T267" s="3"/>
    </row>
    <row r="268" spans="1:20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12"/>
      <c r="S268" s="3"/>
      <c r="T268" s="3"/>
    </row>
    <row r="269" spans="1:20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12"/>
      <c r="S269" s="3"/>
      <c r="T269" s="3"/>
    </row>
    <row r="270" spans="1:2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12"/>
      <c r="S270" s="3"/>
      <c r="T270" s="3"/>
    </row>
    <row r="271" spans="1:20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12"/>
      <c r="S271" s="3"/>
      <c r="T271" s="3"/>
    </row>
    <row r="272" spans="1:20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12"/>
      <c r="S272" s="3"/>
      <c r="T272" s="3"/>
    </row>
    <row r="273" spans="1:20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12"/>
      <c r="S273" s="3"/>
      <c r="T273" s="3"/>
    </row>
    <row r="274" spans="1:20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12"/>
      <c r="S274" s="3"/>
      <c r="T274" s="3"/>
    </row>
    <row r="275" spans="1:20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12"/>
      <c r="S275" s="3"/>
      <c r="T275" s="3"/>
    </row>
    <row r="276" spans="1:20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12"/>
      <c r="S276" s="3"/>
      <c r="T276" s="3"/>
    </row>
    <row r="277" spans="1:20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12"/>
      <c r="S277" s="3"/>
      <c r="T277" s="3"/>
    </row>
    <row r="278" spans="1:20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12"/>
      <c r="S278" s="3"/>
      <c r="T278" s="3"/>
    </row>
    <row r="279" spans="1:20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12"/>
      <c r="S279" s="3"/>
      <c r="T279" s="3"/>
    </row>
    <row r="280" spans="1:2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12"/>
      <c r="S280" s="3"/>
      <c r="T280" s="3"/>
    </row>
    <row r="281" spans="1:20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12"/>
      <c r="S281" s="3"/>
      <c r="T281" s="3"/>
    </row>
    <row r="282" spans="1:20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12"/>
      <c r="S282" s="3"/>
      <c r="T282" s="3"/>
    </row>
    <row r="283" spans="1:20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12"/>
      <c r="S283" s="3"/>
      <c r="T283" s="3"/>
    </row>
    <row r="284" spans="1:20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12"/>
      <c r="S284" s="3"/>
      <c r="T284" s="3"/>
    </row>
    <row r="285" spans="1:20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12"/>
      <c r="S285" s="3"/>
      <c r="T285" s="3"/>
    </row>
    <row r="286" spans="1:20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12"/>
      <c r="S286" s="3"/>
      <c r="T286" s="3"/>
    </row>
    <row r="287" spans="1:20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12"/>
      <c r="S287" s="3"/>
      <c r="T287" s="3"/>
    </row>
    <row r="288" spans="1:20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12"/>
      <c r="S288" s="3"/>
      <c r="T288" s="3"/>
    </row>
    <row r="289" spans="1:20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12"/>
      <c r="S289" s="3"/>
      <c r="T289" s="3"/>
    </row>
    <row r="290" spans="1:2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12"/>
      <c r="S290" s="3"/>
      <c r="T290" s="3"/>
    </row>
    <row r="291" spans="1:20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12"/>
      <c r="S291" s="3"/>
      <c r="T291" s="3"/>
    </row>
    <row r="292" spans="1:20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12"/>
      <c r="S292" s="3"/>
      <c r="T292" s="3"/>
    </row>
    <row r="293" spans="1:20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12"/>
      <c r="S293" s="3"/>
      <c r="T293" s="3"/>
    </row>
    <row r="294" spans="1:20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12"/>
      <c r="S294" s="3"/>
      <c r="T294" s="3"/>
    </row>
    <row r="295" spans="1:20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12"/>
      <c r="S295" s="3"/>
      <c r="T295" s="3"/>
    </row>
    <row r="296" spans="1:20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12"/>
      <c r="S296" s="3"/>
      <c r="T296" s="3"/>
    </row>
    <row r="297" spans="1:20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12"/>
      <c r="S297" s="3"/>
      <c r="T297" s="3"/>
    </row>
    <row r="298" spans="1:20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12"/>
      <c r="S298" s="3"/>
      <c r="T298" s="3"/>
    </row>
    <row r="299" spans="1:20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12"/>
      <c r="S299" s="3"/>
      <c r="T299" s="3"/>
    </row>
    <row r="300" spans="1:2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12"/>
      <c r="S300" s="3"/>
      <c r="T300" s="3"/>
    </row>
    <row r="301" spans="1:20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12"/>
      <c r="S301" s="3"/>
      <c r="T301" s="3"/>
    </row>
    <row r="302" spans="1:20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12"/>
      <c r="S302" s="3"/>
      <c r="T302" s="3"/>
    </row>
    <row r="303" spans="1:20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12"/>
      <c r="S303" s="3"/>
      <c r="T303" s="3"/>
    </row>
    <row r="304" spans="1:20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12"/>
      <c r="S304" s="3"/>
      <c r="T304" s="3"/>
    </row>
    <row r="305" spans="1:20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12"/>
      <c r="S305" s="3"/>
      <c r="T305" s="3"/>
    </row>
    <row r="306" spans="1:20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12"/>
      <c r="S306" s="3"/>
      <c r="T306" s="3"/>
    </row>
    <row r="307" spans="1:20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12"/>
      <c r="S307" s="3"/>
      <c r="T307" s="3"/>
    </row>
    <row r="308" spans="1:20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12"/>
      <c r="S308" s="3"/>
      <c r="T308" s="3"/>
    </row>
    <row r="309" spans="1:20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12"/>
      <c r="S309" s="3"/>
      <c r="T309" s="3"/>
    </row>
    <row r="310" spans="1:2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12"/>
      <c r="S310" s="3"/>
      <c r="T310" s="3"/>
    </row>
    <row r="311" spans="1:20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12"/>
      <c r="S311" s="3"/>
      <c r="T311" s="3"/>
    </row>
    <row r="312" spans="1:20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12"/>
      <c r="S312" s="3"/>
      <c r="T312" s="3"/>
    </row>
    <row r="313" spans="1:20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12"/>
      <c r="S313" s="3"/>
      <c r="T313" s="3"/>
    </row>
    <row r="314" spans="1:20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12"/>
      <c r="S314" s="3"/>
      <c r="T314" s="3"/>
    </row>
    <row r="315" spans="1:20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12"/>
      <c r="S315" s="3"/>
      <c r="T315" s="3"/>
    </row>
    <row r="316" spans="1:20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2"/>
      <c r="S316" s="3"/>
      <c r="T316" s="3"/>
    </row>
    <row r="317" spans="1:20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12"/>
      <c r="S317" s="3"/>
      <c r="T317" s="3"/>
    </row>
    <row r="318" spans="1:20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12"/>
      <c r="S318" s="3"/>
      <c r="T318" s="3"/>
    </row>
    <row r="319" spans="1:20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12"/>
      <c r="S319" s="3"/>
      <c r="T319" s="3"/>
    </row>
    <row r="320" spans="1: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12"/>
      <c r="S320" s="3"/>
      <c r="T320" s="3"/>
    </row>
    <row r="321" spans="1:20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12"/>
      <c r="S321" s="3"/>
      <c r="T321" s="3"/>
    </row>
    <row r="322" spans="1:20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12"/>
      <c r="S322" s="3"/>
      <c r="T322" s="3"/>
    </row>
    <row r="323" spans="1:20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12"/>
      <c r="S323" s="3"/>
      <c r="T323" s="3"/>
    </row>
    <row r="324" spans="1:20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12"/>
      <c r="S324" s="3"/>
      <c r="T324" s="3"/>
    </row>
    <row r="325" spans="1:20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12"/>
      <c r="S325" s="3"/>
      <c r="T325" s="3"/>
    </row>
    <row r="326" spans="1:20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12"/>
      <c r="S326" s="3"/>
      <c r="T326" s="3"/>
    </row>
    <row r="327" spans="1:20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12"/>
      <c r="S327" s="3"/>
      <c r="T327" s="3"/>
    </row>
    <row r="328" spans="1:20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12"/>
      <c r="S328" s="3"/>
      <c r="T328" s="3"/>
    </row>
    <row r="329" spans="1:20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12"/>
      <c r="S329" s="3"/>
      <c r="T329" s="3"/>
    </row>
    <row r="330" spans="1:2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12"/>
      <c r="S330" s="3"/>
      <c r="T330" s="3"/>
    </row>
    <row r="331" spans="1:20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12"/>
      <c r="S331" s="3"/>
      <c r="T331" s="3"/>
    </row>
    <row r="332" spans="1:20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12"/>
      <c r="S332" s="3"/>
      <c r="T332" s="3"/>
    </row>
    <row r="333" spans="1:20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12"/>
      <c r="S333" s="3"/>
      <c r="T333" s="3"/>
    </row>
    <row r="334" spans="1:20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12"/>
      <c r="S334" s="3"/>
      <c r="T334" s="3"/>
    </row>
    <row r="335" spans="1:20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12"/>
      <c r="S335" s="3"/>
      <c r="T335" s="3"/>
    </row>
    <row r="336" spans="1:20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12"/>
      <c r="S336" s="3"/>
      <c r="T336" s="3"/>
    </row>
    <row r="337" spans="1:20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12"/>
      <c r="S337" s="3"/>
      <c r="T337" s="3"/>
    </row>
    <row r="338" spans="1:20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12"/>
      <c r="S338" s="3"/>
      <c r="T338" s="3"/>
    </row>
    <row r="339" spans="1:20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12"/>
      <c r="S339" s="3"/>
      <c r="T339" s="3"/>
    </row>
    <row r="340" spans="1:2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12"/>
      <c r="S340" s="3"/>
      <c r="T340" s="3"/>
    </row>
    <row r="341" spans="1:20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12"/>
      <c r="S341" s="3"/>
      <c r="T341" s="3"/>
    </row>
    <row r="342" spans="1:20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12"/>
      <c r="S342" s="3"/>
      <c r="T342" s="3"/>
    </row>
    <row r="343" spans="1:20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12"/>
      <c r="S343" s="3"/>
      <c r="T343" s="3"/>
    </row>
    <row r="344" spans="1:20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12"/>
      <c r="S344" s="3"/>
      <c r="T344" s="3"/>
    </row>
    <row r="345" spans="1:20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12"/>
      <c r="S345" s="3"/>
      <c r="T345" s="3"/>
    </row>
    <row r="346" spans="1:20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12"/>
      <c r="S346" s="3"/>
      <c r="T346" s="3"/>
    </row>
    <row r="347" spans="1:20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12"/>
      <c r="S347" s="3"/>
      <c r="T347" s="3"/>
    </row>
    <row r="348" spans="1:20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12"/>
      <c r="S348" s="3"/>
      <c r="T348" s="3"/>
    </row>
    <row r="349" spans="1:20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12"/>
      <c r="S349" s="3"/>
      <c r="T349" s="3"/>
    </row>
    <row r="350" spans="1:2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12"/>
      <c r="S350" s="3"/>
      <c r="T350" s="3"/>
    </row>
    <row r="351" spans="1:20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12"/>
      <c r="S351" s="3"/>
      <c r="T351" s="3"/>
    </row>
    <row r="352" spans="1:20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12"/>
      <c r="S352" s="3"/>
      <c r="T352" s="3"/>
    </row>
    <row r="353" spans="1:20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12"/>
      <c r="S353" s="3"/>
      <c r="T353" s="3"/>
    </row>
    <row r="354" spans="1:20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12"/>
      <c r="S354" s="3"/>
      <c r="T354" s="3"/>
    </row>
    <row r="355" spans="1:20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12"/>
      <c r="S355" s="3"/>
      <c r="T355" s="3"/>
    </row>
    <row r="356" spans="1:20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12"/>
      <c r="S356" s="3"/>
      <c r="T356" s="3"/>
    </row>
    <row r="357" spans="1:20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12"/>
      <c r="S357" s="3"/>
      <c r="T357" s="3"/>
    </row>
    <row r="358" spans="1:20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12"/>
      <c r="S358" s="3"/>
      <c r="T358" s="3"/>
    </row>
    <row r="359" spans="1:20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12"/>
      <c r="S359" s="3"/>
      <c r="T359" s="3"/>
    </row>
    <row r="360" spans="1:2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12"/>
      <c r="S360" s="3"/>
      <c r="T360" s="3"/>
    </row>
    <row r="361" spans="1:20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12"/>
      <c r="S361" s="3"/>
      <c r="T361" s="3"/>
    </row>
    <row r="362" spans="1:20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12"/>
      <c r="S362" s="3"/>
      <c r="T362" s="3"/>
    </row>
    <row r="363" spans="1:20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12"/>
      <c r="S363" s="3"/>
      <c r="T363" s="3"/>
    </row>
    <row r="364" spans="1:20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12"/>
      <c r="S364" s="3"/>
      <c r="T364" s="3"/>
    </row>
    <row r="365" spans="1:20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12"/>
      <c r="S365" s="3"/>
      <c r="T365" s="3"/>
    </row>
    <row r="366" spans="1:20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12"/>
      <c r="S366" s="3"/>
      <c r="T366" s="3"/>
    </row>
    <row r="367" spans="1:20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12"/>
      <c r="S367" s="3"/>
      <c r="T367" s="3"/>
    </row>
    <row r="368" spans="1:20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12"/>
      <c r="S368" s="3"/>
      <c r="T368" s="3"/>
    </row>
    <row r="369" spans="1:20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12"/>
      <c r="S369" s="3"/>
      <c r="T369" s="3"/>
    </row>
    <row r="370" spans="1:2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12"/>
      <c r="S370" s="3"/>
      <c r="T370" s="3"/>
    </row>
    <row r="371" spans="1:20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12"/>
      <c r="S371" s="3"/>
      <c r="T371" s="3"/>
    </row>
    <row r="372" spans="1:20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12"/>
      <c r="S372" s="3"/>
      <c r="T372" s="3"/>
    </row>
    <row r="373" spans="1:20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12"/>
      <c r="S373" s="3"/>
      <c r="T373" s="3"/>
    </row>
    <row r="374" spans="1:20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12"/>
      <c r="S374" s="3"/>
      <c r="T374" s="3"/>
    </row>
    <row r="375" spans="1:20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12"/>
      <c r="S375" s="3"/>
      <c r="T375" s="3"/>
    </row>
    <row r="376" spans="1:20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12"/>
      <c r="S376" s="3"/>
      <c r="T376" s="3"/>
    </row>
    <row r="377" spans="1:20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12"/>
      <c r="S377" s="3"/>
      <c r="T377" s="3"/>
    </row>
    <row r="378" spans="1:20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12"/>
      <c r="S378" s="3"/>
      <c r="T378" s="3"/>
    </row>
    <row r="379" spans="1:20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12"/>
      <c r="S379" s="3"/>
      <c r="T379" s="3"/>
    </row>
    <row r="380" spans="1:2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12"/>
      <c r="S380" s="3"/>
      <c r="T380" s="3"/>
    </row>
    <row r="381" spans="1:20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12"/>
      <c r="S381" s="3"/>
      <c r="T381" s="3"/>
    </row>
    <row r="382" spans="1:20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12"/>
      <c r="S382" s="3"/>
      <c r="T382" s="3"/>
    </row>
    <row r="383" spans="1:20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12"/>
      <c r="S383" s="3"/>
      <c r="T383" s="3"/>
    </row>
    <row r="384" spans="1:20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12"/>
      <c r="S384" s="3"/>
      <c r="T384" s="3"/>
    </row>
    <row r="385" spans="1:20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12"/>
      <c r="S385" s="3"/>
      <c r="T385" s="3"/>
    </row>
    <row r="386" spans="1:20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12"/>
      <c r="S386" s="3"/>
      <c r="T386" s="3"/>
    </row>
    <row r="387" spans="1:20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12"/>
      <c r="S387" s="3"/>
      <c r="T387" s="3"/>
    </row>
    <row r="388" spans="1:20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12"/>
      <c r="S388" s="3"/>
      <c r="T388" s="3"/>
    </row>
    <row r="389" spans="1:20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12"/>
      <c r="S389" s="3"/>
      <c r="T389" s="3"/>
    </row>
    <row r="390" spans="1:2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12"/>
      <c r="S390" s="3"/>
      <c r="T390" s="3"/>
    </row>
    <row r="391" spans="1:20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12"/>
      <c r="S391" s="3"/>
      <c r="T391" s="3"/>
    </row>
    <row r="392" spans="1:20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12"/>
      <c r="S392" s="3"/>
      <c r="T392" s="3"/>
    </row>
    <row r="393" spans="1:20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12"/>
      <c r="S393" s="3"/>
      <c r="T393" s="3"/>
    </row>
    <row r="394" spans="1:20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2"/>
      <c r="S394" s="3"/>
      <c r="T394" s="3"/>
    </row>
    <row r="395" spans="1:20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12"/>
      <c r="S395" s="3"/>
      <c r="T395" s="3"/>
    </row>
    <row r="396" spans="1:20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12"/>
      <c r="S396" s="3"/>
      <c r="T396" s="3"/>
    </row>
    <row r="397" spans="1:20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12"/>
      <c r="S397" s="3"/>
      <c r="T397" s="3"/>
    </row>
    <row r="398" spans="1:20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12"/>
      <c r="S398" s="3"/>
      <c r="T398" s="3"/>
    </row>
    <row r="399" spans="1:20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12"/>
      <c r="S399" s="3"/>
      <c r="T399" s="3"/>
    </row>
    <row r="400" spans="1:2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12"/>
      <c r="S400" s="3"/>
      <c r="T400" s="3"/>
    </row>
    <row r="401" spans="1:20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2"/>
      <c r="S401" s="3"/>
      <c r="T401" s="3"/>
    </row>
    <row r="402" spans="1:20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2"/>
      <c r="S402" s="3"/>
      <c r="T402" s="3"/>
    </row>
    <row r="403" spans="1:20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12"/>
      <c r="S403" s="3"/>
      <c r="T403" s="3"/>
    </row>
    <row r="404" spans="1:20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12"/>
      <c r="S404" s="3"/>
      <c r="T404" s="3"/>
    </row>
    <row r="405" spans="1:20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12"/>
      <c r="S405" s="3"/>
      <c r="T405" s="3"/>
    </row>
    <row r="406" spans="1:20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12"/>
      <c r="S406" s="3"/>
      <c r="T406" s="3"/>
    </row>
    <row r="407" spans="1:20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12"/>
      <c r="S407" s="3"/>
      <c r="T407" s="3"/>
    </row>
    <row r="408" spans="1:20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12"/>
      <c r="S408" s="3"/>
      <c r="T408" s="3"/>
    </row>
    <row r="409" spans="1:20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12"/>
      <c r="S409" s="3"/>
      <c r="T409" s="3"/>
    </row>
    <row r="410" spans="1:2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12"/>
      <c r="S410" s="3"/>
      <c r="T410" s="3"/>
    </row>
    <row r="411" spans="1:20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2"/>
      <c r="S411" s="3"/>
      <c r="T411" s="3"/>
    </row>
    <row r="412" spans="1:20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2"/>
      <c r="S412" s="3"/>
      <c r="T412" s="3"/>
    </row>
    <row r="413" spans="1:20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12"/>
      <c r="S413" s="3"/>
      <c r="T413" s="3"/>
    </row>
    <row r="414" spans="1:20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12"/>
      <c r="S414" s="3"/>
      <c r="T414" s="3"/>
    </row>
    <row r="415" spans="1:20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12"/>
      <c r="S415" s="3"/>
      <c r="T415" s="3"/>
    </row>
    <row r="416" spans="1:20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2"/>
      <c r="S416" s="3"/>
      <c r="T416" s="3"/>
    </row>
    <row r="417" spans="1:20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12"/>
      <c r="S417" s="3"/>
      <c r="T417" s="3"/>
    </row>
    <row r="418" spans="1:20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12"/>
      <c r="S418" s="3"/>
      <c r="T418" s="3"/>
    </row>
    <row r="419" spans="1:20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12"/>
      <c r="S419" s="3"/>
      <c r="T419" s="3"/>
    </row>
    <row r="420" spans="1: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12"/>
      <c r="S420" s="3"/>
      <c r="T420" s="3"/>
    </row>
    <row r="421" spans="1:20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2"/>
      <c r="S421" s="3"/>
      <c r="T421" s="3"/>
    </row>
    <row r="422" spans="1:20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2"/>
      <c r="S422" s="3"/>
      <c r="T422" s="3"/>
    </row>
    <row r="423" spans="1:20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12"/>
      <c r="S423" s="3"/>
      <c r="T423" s="3"/>
    </row>
    <row r="424" spans="1:20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12"/>
      <c r="S424" s="3"/>
      <c r="T424" s="3"/>
    </row>
    <row r="425" spans="1:20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12"/>
      <c r="S425" s="3"/>
      <c r="T425" s="3"/>
    </row>
    <row r="426" spans="1:20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12"/>
      <c r="S426" s="3"/>
      <c r="T426" s="3"/>
    </row>
    <row r="427" spans="1:20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12"/>
      <c r="S427" s="3"/>
      <c r="T427" s="3"/>
    </row>
    <row r="428" spans="1:20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12"/>
      <c r="S428" s="3"/>
      <c r="T428" s="3"/>
    </row>
    <row r="429" spans="1:20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12"/>
      <c r="S429" s="3"/>
      <c r="T429" s="3"/>
    </row>
    <row r="430" spans="1:2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12"/>
      <c r="S430" s="3"/>
      <c r="T430" s="3"/>
    </row>
    <row r="431" spans="1:20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12"/>
      <c r="S431" s="3"/>
      <c r="T431" s="3"/>
    </row>
    <row r="432" spans="1:20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12"/>
      <c r="S432" s="3"/>
      <c r="T432" s="3"/>
    </row>
    <row r="433" spans="1:20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2"/>
      <c r="S433" s="3"/>
      <c r="T433" s="3"/>
    </row>
    <row r="434" spans="1:20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12"/>
      <c r="S434" s="3"/>
      <c r="T434" s="3"/>
    </row>
    <row r="435" spans="1:20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12"/>
      <c r="S435" s="3"/>
      <c r="T435" s="3"/>
    </row>
    <row r="436" spans="1:20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12"/>
      <c r="S436" s="3"/>
      <c r="T436" s="3"/>
    </row>
    <row r="437" spans="1:20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12"/>
      <c r="S437" s="3"/>
      <c r="T437" s="3"/>
    </row>
    <row r="438" spans="1:20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12"/>
      <c r="S438" s="3"/>
      <c r="T438" s="3"/>
    </row>
    <row r="439" spans="1:20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12"/>
      <c r="S439" s="3"/>
      <c r="T439" s="3"/>
    </row>
    <row r="440" spans="1:2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12"/>
      <c r="S440" s="3"/>
      <c r="T440" s="3"/>
    </row>
    <row r="441" spans="1:20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12"/>
      <c r="S441" s="3"/>
      <c r="T441" s="3"/>
    </row>
    <row r="442" spans="1:20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2"/>
      <c r="S442" s="3"/>
      <c r="T442" s="3"/>
    </row>
    <row r="443" spans="1:20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12"/>
      <c r="S443" s="3"/>
      <c r="T443" s="3"/>
    </row>
    <row r="444" spans="1:20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12"/>
      <c r="S444" s="3"/>
      <c r="T444" s="3"/>
    </row>
    <row r="445" spans="1:20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12"/>
      <c r="S445" s="3"/>
      <c r="T445" s="3"/>
    </row>
    <row r="446" spans="1:20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12"/>
      <c r="S446" s="3"/>
      <c r="T446" s="3"/>
    </row>
    <row r="447" spans="1:20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12"/>
      <c r="S447" s="3"/>
      <c r="T447" s="3"/>
    </row>
    <row r="448" spans="1:20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12"/>
      <c r="S448" s="3"/>
      <c r="T448" s="3"/>
    </row>
    <row r="449" spans="1:20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12"/>
      <c r="S449" s="3"/>
      <c r="T449" s="3"/>
    </row>
    <row r="450" spans="1:2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12"/>
      <c r="S450" s="3"/>
      <c r="T450" s="3"/>
    </row>
    <row r="451" spans="1:20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2"/>
      <c r="S451" s="3"/>
      <c r="T451" s="3"/>
    </row>
    <row r="452" spans="1:20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12"/>
      <c r="S452" s="3"/>
      <c r="T452" s="3"/>
    </row>
    <row r="453" spans="1:20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12"/>
      <c r="S453" s="3"/>
      <c r="T453" s="3"/>
    </row>
    <row r="454" spans="1:20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12"/>
      <c r="S454" s="3"/>
      <c r="T454" s="3"/>
    </row>
    <row r="455" spans="1:20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12"/>
      <c r="S455" s="3"/>
      <c r="T455" s="3"/>
    </row>
    <row r="456" spans="1:20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12"/>
      <c r="S456" s="3"/>
      <c r="T456" s="3"/>
    </row>
    <row r="457" spans="1:20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12"/>
      <c r="S457" s="3"/>
      <c r="T457" s="3"/>
    </row>
    <row r="458" spans="1:20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12"/>
      <c r="S458" s="3"/>
      <c r="T458" s="3"/>
    </row>
    <row r="459" spans="1:20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12"/>
      <c r="S459" s="3"/>
      <c r="T459" s="3"/>
    </row>
    <row r="460" spans="1:2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12"/>
      <c r="S460" s="3"/>
      <c r="T460" s="3"/>
    </row>
    <row r="461" spans="1:20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12"/>
      <c r="S461" s="3"/>
      <c r="T461" s="3"/>
    </row>
    <row r="462" spans="1:20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12"/>
      <c r="S462" s="3"/>
      <c r="T462" s="3"/>
    </row>
    <row r="463" spans="1:20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12"/>
      <c r="S463" s="3"/>
      <c r="T463" s="3"/>
    </row>
    <row r="464" spans="1:20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12"/>
      <c r="S464" s="3"/>
      <c r="T464" s="3"/>
    </row>
    <row r="465" spans="1:20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12"/>
      <c r="S465" s="3"/>
      <c r="T465" s="3"/>
    </row>
    <row r="466" spans="1:20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12"/>
      <c r="S466" s="3"/>
      <c r="T466" s="3"/>
    </row>
    <row r="467" spans="1:20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12"/>
      <c r="S467" s="3"/>
      <c r="T467" s="3"/>
    </row>
    <row r="468" spans="1:20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12"/>
      <c r="S468" s="3"/>
      <c r="T468" s="3"/>
    </row>
    <row r="469" spans="1:20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12"/>
      <c r="S469" s="3"/>
      <c r="T469" s="3"/>
    </row>
    <row r="470" spans="1:2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2"/>
      <c r="S470" s="3"/>
      <c r="T470" s="3"/>
    </row>
    <row r="471" spans="1:20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2"/>
      <c r="S471" s="3"/>
      <c r="T471" s="3"/>
    </row>
    <row r="472" spans="1:20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12"/>
      <c r="S472" s="3"/>
      <c r="T472" s="3"/>
    </row>
    <row r="473" spans="1:20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2"/>
      <c r="S473" s="3"/>
      <c r="T473" s="3"/>
    </row>
    <row r="474" spans="1:20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12"/>
      <c r="S474" s="3"/>
      <c r="T474" s="3"/>
    </row>
    <row r="475" spans="1:20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12"/>
      <c r="S475" s="3"/>
      <c r="T475" s="3"/>
    </row>
    <row r="476" spans="1:20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12"/>
      <c r="S476" s="3"/>
      <c r="T476" s="3"/>
    </row>
    <row r="477" spans="1:20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12"/>
      <c r="S477" s="3"/>
      <c r="T477" s="3"/>
    </row>
    <row r="478" spans="1:20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12"/>
      <c r="S478" s="3"/>
      <c r="T478" s="3"/>
    </row>
    <row r="479" spans="1:20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12"/>
      <c r="S479" s="3"/>
      <c r="T479" s="3"/>
    </row>
    <row r="480" spans="1:2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2"/>
      <c r="S480" s="3"/>
      <c r="T480" s="3"/>
    </row>
    <row r="481" spans="1:20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2"/>
      <c r="S481" s="3"/>
      <c r="T481" s="3"/>
    </row>
    <row r="482" spans="1:20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12"/>
      <c r="S482" s="3"/>
      <c r="T482" s="3"/>
    </row>
    <row r="483" spans="1:20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12"/>
      <c r="S483" s="3"/>
      <c r="T483" s="3"/>
    </row>
    <row r="484" spans="1:20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12"/>
      <c r="S484" s="3"/>
      <c r="T484" s="3"/>
    </row>
    <row r="485" spans="1:20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12"/>
      <c r="S485" s="3"/>
      <c r="T485" s="3"/>
    </row>
    <row r="486" spans="1:20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12"/>
      <c r="S486" s="3"/>
      <c r="T486" s="3"/>
    </row>
    <row r="487" spans="1:20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2"/>
      <c r="S487" s="3"/>
      <c r="T487" s="3"/>
    </row>
    <row r="488" spans="1:20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12"/>
      <c r="S488" s="3"/>
      <c r="T488" s="3"/>
    </row>
    <row r="489" spans="1:20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12"/>
      <c r="S489" s="3"/>
      <c r="T489" s="3"/>
    </row>
    <row r="490" spans="1:2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2"/>
      <c r="S490" s="3"/>
      <c r="T490" s="3"/>
    </row>
    <row r="491" spans="1:20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2"/>
      <c r="S491" s="3"/>
      <c r="T491" s="3"/>
    </row>
    <row r="492" spans="1:20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12"/>
      <c r="S492" s="3"/>
      <c r="T492" s="3"/>
    </row>
    <row r="493" spans="1:20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12"/>
      <c r="S493" s="3"/>
      <c r="T493" s="3"/>
    </row>
    <row r="494" spans="1:20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12"/>
      <c r="S494" s="3"/>
      <c r="T494" s="3"/>
    </row>
    <row r="495" spans="1:20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12"/>
      <c r="S495" s="3"/>
      <c r="T495" s="3"/>
    </row>
    <row r="496" spans="1:20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12"/>
      <c r="S496" s="3"/>
      <c r="T496" s="3"/>
    </row>
    <row r="497" spans="1:20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12"/>
      <c r="S497" s="3"/>
      <c r="T497" s="3"/>
    </row>
    <row r="498" spans="1:20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12"/>
      <c r="S498" s="3"/>
      <c r="T498" s="3"/>
    </row>
    <row r="499" spans="1:20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12"/>
      <c r="S499" s="3"/>
      <c r="T499" s="3"/>
    </row>
    <row r="500" spans="1:2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2"/>
      <c r="S500" s="3"/>
      <c r="T500" s="3"/>
    </row>
  </sheetData>
  <mergeCells count="1">
    <mergeCell ref="A1:T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Listes_Controlees!$F$4:$F$10</xm:f>
          </x14:formula1>
          <xm:sqref>C3:C500</xm:sqref>
        </x14:dataValidation>
        <x14:dataValidation type="list" xr:uid="{00000000-0002-0000-0500-000001000000}">
          <x14:formula1>
            <xm:f>Listes_Controlees!$B$4:$B$9</xm:f>
          </x14:formula1>
          <xm:sqref>S3:S500</xm:sqref>
        </x14:dataValidation>
        <x14:dataValidation type="list" xr:uid="{00000000-0002-0000-0500-000002000000}">
          <x14:formula1>
            <xm:f>Listes_Controlees!$A$4:$A$8</xm:f>
          </x14:formula1>
          <xm:sqref>T3:T500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0"/>
  <sheetViews>
    <sheetView workbookViewId="0"/>
  </sheetViews>
  <sheetFormatPr defaultRowHeight="14"/>
  <cols>
    <col min="1" max="1" width="16" customWidth="1"/>
    <col min="2" max="2" width="12" customWidth="1"/>
    <col min="3" max="3" width="18" customWidth="1"/>
    <col min="4" max="4" width="24" customWidth="1"/>
    <col min="5" max="6" width="18" customWidth="1"/>
    <col min="7" max="7" width="14" customWidth="1"/>
    <col min="8" max="8" width="18" customWidth="1"/>
    <col min="9" max="9" width="14" customWidth="1"/>
    <col min="10" max="10" width="18" customWidth="1"/>
    <col min="11" max="11" width="38" customWidth="1"/>
    <col min="12" max="12" width="26" customWidth="1"/>
    <col min="13" max="14" width="18" customWidth="1"/>
    <col min="15" max="15" width="16" customWidth="1"/>
  </cols>
  <sheetData>
    <row r="1" spans="1:15" ht="19">
      <c r="A1" s="15" t="s">
        <v>799</v>
      </c>
      <c r="B1" s="15" t="s">
        <v>799</v>
      </c>
      <c r="C1" s="15" t="s">
        <v>799</v>
      </c>
      <c r="D1" s="15" t="s">
        <v>799</v>
      </c>
      <c r="E1" s="15" t="s">
        <v>799</v>
      </c>
      <c r="F1" s="15" t="s">
        <v>799</v>
      </c>
      <c r="G1" s="15" t="s">
        <v>799</v>
      </c>
      <c r="H1" s="15" t="s">
        <v>799</v>
      </c>
      <c r="I1" s="15" t="s">
        <v>799</v>
      </c>
      <c r="J1" s="15" t="s">
        <v>799</v>
      </c>
      <c r="K1" s="15" t="s">
        <v>799</v>
      </c>
      <c r="L1" s="15" t="s">
        <v>799</v>
      </c>
      <c r="M1" s="15" t="s">
        <v>799</v>
      </c>
      <c r="N1" s="15" t="s">
        <v>799</v>
      </c>
      <c r="O1" s="15" t="s">
        <v>799</v>
      </c>
    </row>
    <row r="2" spans="1:15">
      <c r="A2" s="11" t="s">
        <v>891</v>
      </c>
      <c r="B2" s="11" t="s">
        <v>864</v>
      </c>
      <c r="C2" s="11" t="s">
        <v>892</v>
      </c>
      <c r="D2" s="11" t="s">
        <v>893</v>
      </c>
      <c r="E2" s="11" t="s">
        <v>894</v>
      </c>
      <c r="F2" s="11" t="s">
        <v>895</v>
      </c>
      <c r="G2" s="11" t="s">
        <v>896</v>
      </c>
      <c r="H2" s="11" t="s">
        <v>22</v>
      </c>
      <c r="I2" s="11" t="s">
        <v>897</v>
      </c>
      <c r="J2" s="11" t="s">
        <v>898</v>
      </c>
      <c r="K2" s="11" t="s">
        <v>899</v>
      </c>
      <c r="L2" s="11" t="s">
        <v>873</v>
      </c>
      <c r="M2" s="11" t="s">
        <v>874</v>
      </c>
      <c r="N2" s="11" t="s">
        <v>875</v>
      </c>
      <c r="O2" s="11" t="s">
        <v>39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2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2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2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2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2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2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2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2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2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2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2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2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2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2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2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2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2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2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2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12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2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12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2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2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2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2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2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12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2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2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2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12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2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12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12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12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12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12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2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12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12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12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12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12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12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12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12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12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2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12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12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12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12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12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12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12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12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12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2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12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12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12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12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12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12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12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12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12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12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12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12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12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12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12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12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12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12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12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2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12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12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12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12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12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12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12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12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12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12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12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12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12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12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12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12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12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12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12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2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12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12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12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12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12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12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12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12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12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12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2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12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12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12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2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12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12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12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2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2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12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12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2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12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12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12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12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12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12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2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12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12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12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12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12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12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12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12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12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12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2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12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12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12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12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12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12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12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12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12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12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12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12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12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12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12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12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12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12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12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12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12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12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12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12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12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12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12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12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12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12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12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12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12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12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12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12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12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12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12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12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12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12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12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12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12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12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12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12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12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12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12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12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12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12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12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12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12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12"/>
      <c r="N200" s="3"/>
      <c r="O200" s="3"/>
    </row>
    <row r="201" spans="1: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12"/>
      <c r="N201" s="3"/>
      <c r="O201" s="3"/>
    </row>
    <row r="202" spans="1: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12"/>
      <c r="N202" s="3"/>
      <c r="O202" s="3"/>
    </row>
    <row r="203" spans="1: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12"/>
      <c r="N203" s="3"/>
      <c r="O203" s="3"/>
    </row>
    <row r="204" spans="1: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12"/>
      <c r="N204" s="3"/>
      <c r="O204" s="3"/>
    </row>
    <row r="205" spans="1: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12"/>
      <c r="N205" s="3"/>
      <c r="O205" s="3"/>
    </row>
    <row r="206" spans="1: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12"/>
      <c r="N206" s="3"/>
      <c r="O206" s="3"/>
    </row>
    <row r="207" spans="1: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12"/>
      <c r="N207" s="3"/>
      <c r="O207" s="3"/>
    </row>
    <row r="208" spans="1: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12"/>
      <c r="N208" s="3"/>
      <c r="O208" s="3"/>
    </row>
    <row r="209" spans="1: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12"/>
      <c r="N209" s="3"/>
      <c r="O209" s="3"/>
    </row>
    <row r="210" spans="1: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12"/>
      <c r="N210" s="3"/>
      <c r="O210" s="3"/>
    </row>
    <row r="211" spans="1: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12"/>
      <c r="N211" s="3"/>
      <c r="O211" s="3"/>
    </row>
    <row r="212" spans="1: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12"/>
      <c r="N212" s="3"/>
      <c r="O212" s="3"/>
    </row>
    <row r="213" spans="1: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12"/>
      <c r="N213" s="3"/>
      <c r="O213" s="3"/>
    </row>
    <row r="214" spans="1: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12"/>
      <c r="N214" s="3"/>
      <c r="O214" s="3"/>
    </row>
    <row r="215" spans="1: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12"/>
      <c r="N215" s="3"/>
      <c r="O215" s="3"/>
    </row>
    <row r="216" spans="1: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12"/>
      <c r="N216" s="3"/>
      <c r="O216" s="3"/>
    </row>
    <row r="217" spans="1: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12"/>
      <c r="N217" s="3"/>
      <c r="O217" s="3"/>
    </row>
    <row r="218" spans="1: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12"/>
      <c r="N218" s="3"/>
      <c r="O218" s="3"/>
    </row>
    <row r="219" spans="1: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12"/>
      <c r="N219" s="3"/>
      <c r="O219" s="3"/>
    </row>
    <row r="220" spans="1: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12"/>
      <c r="N220" s="3"/>
      <c r="O220" s="3"/>
    </row>
    <row r="221" spans="1: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12"/>
      <c r="N221" s="3"/>
      <c r="O221" s="3"/>
    </row>
    <row r="222" spans="1: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12"/>
      <c r="N222" s="3"/>
      <c r="O222" s="3"/>
    </row>
    <row r="223" spans="1: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12"/>
      <c r="N223" s="3"/>
      <c r="O223" s="3"/>
    </row>
    <row r="224" spans="1: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12"/>
      <c r="N224" s="3"/>
      <c r="O224" s="3"/>
    </row>
    <row r="225" spans="1: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12"/>
      <c r="N225" s="3"/>
      <c r="O225" s="3"/>
    </row>
    <row r="226" spans="1: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12"/>
      <c r="N226" s="3"/>
      <c r="O226" s="3"/>
    </row>
    <row r="227" spans="1: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12"/>
      <c r="N227" s="3"/>
      <c r="O227" s="3"/>
    </row>
    <row r="228" spans="1: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12"/>
      <c r="N228" s="3"/>
      <c r="O228" s="3"/>
    </row>
    <row r="229" spans="1: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12"/>
      <c r="N229" s="3"/>
      <c r="O229" s="3"/>
    </row>
    <row r="230" spans="1: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12"/>
      <c r="N230" s="3"/>
      <c r="O230" s="3"/>
    </row>
    <row r="231" spans="1: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12"/>
      <c r="N231" s="3"/>
      <c r="O231" s="3"/>
    </row>
    <row r="232" spans="1: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12"/>
      <c r="N232" s="3"/>
      <c r="O232" s="3"/>
    </row>
    <row r="233" spans="1: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12"/>
      <c r="N233" s="3"/>
      <c r="O233" s="3"/>
    </row>
    <row r="234" spans="1: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12"/>
      <c r="N234" s="3"/>
      <c r="O234" s="3"/>
    </row>
    <row r="235" spans="1: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12"/>
      <c r="N235" s="3"/>
      <c r="O235" s="3"/>
    </row>
    <row r="236" spans="1: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12"/>
      <c r="N236" s="3"/>
      <c r="O236" s="3"/>
    </row>
    <row r="237" spans="1: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12"/>
      <c r="N237" s="3"/>
      <c r="O237" s="3"/>
    </row>
    <row r="238" spans="1: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12"/>
      <c r="N238" s="3"/>
      <c r="O238" s="3"/>
    </row>
    <row r="239" spans="1: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12"/>
      <c r="N239" s="3"/>
      <c r="O239" s="3"/>
    </row>
    <row r="240" spans="1: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12"/>
      <c r="N240" s="3"/>
      <c r="O240" s="3"/>
    </row>
    <row r="241" spans="1: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12"/>
      <c r="N241" s="3"/>
      <c r="O241" s="3"/>
    </row>
    <row r="242" spans="1: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12"/>
      <c r="N242" s="3"/>
      <c r="O242" s="3"/>
    </row>
    <row r="243" spans="1: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12"/>
      <c r="N243" s="3"/>
      <c r="O243" s="3"/>
    </row>
    <row r="244" spans="1: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12"/>
      <c r="N244" s="3"/>
      <c r="O244" s="3"/>
    </row>
    <row r="245" spans="1: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12"/>
      <c r="N245" s="3"/>
      <c r="O245" s="3"/>
    </row>
    <row r="246" spans="1: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12"/>
      <c r="N246" s="3"/>
      <c r="O246" s="3"/>
    </row>
    <row r="247" spans="1: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12"/>
      <c r="N247" s="3"/>
      <c r="O247" s="3"/>
    </row>
    <row r="248" spans="1: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12"/>
      <c r="N248" s="3"/>
      <c r="O248" s="3"/>
    </row>
    <row r="249" spans="1: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12"/>
      <c r="N249" s="3"/>
      <c r="O249" s="3"/>
    </row>
    <row r="250" spans="1: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12"/>
      <c r="N250" s="3"/>
      <c r="O250" s="3"/>
    </row>
    <row r="251" spans="1: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12"/>
      <c r="N251" s="3"/>
      <c r="O251" s="3"/>
    </row>
    <row r="252" spans="1: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12"/>
      <c r="N252" s="3"/>
      <c r="O252" s="3"/>
    </row>
    <row r="253" spans="1: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12"/>
      <c r="N253" s="3"/>
      <c r="O253" s="3"/>
    </row>
    <row r="254" spans="1: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12"/>
      <c r="N254" s="3"/>
      <c r="O254" s="3"/>
    </row>
    <row r="255" spans="1: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12"/>
      <c r="N255" s="3"/>
      <c r="O255" s="3"/>
    </row>
    <row r="256" spans="1: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12"/>
      <c r="N256" s="3"/>
      <c r="O256" s="3"/>
    </row>
    <row r="257" spans="1: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12"/>
      <c r="N257" s="3"/>
      <c r="O257" s="3"/>
    </row>
    <row r="258" spans="1: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12"/>
      <c r="N258" s="3"/>
      <c r="O258" s="3"/>
    </row>
    <row r="259" spans="1: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12"/>
      <c r="N259" s="3"/>
      <c r="O259" s="3"/>
    </row>
    <row r="260" spans="1: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12"/>
      <c r="N260" s="3"/>
      <c r="O260" s="3"/>
    </row>
    <row r="261" spans="1: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12"/>
      <c r="N261" s="3"/>
      <c r="O261" s="3"/>
    </row>
    <row r="262" spans="1: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12"/>
      <c r="N262" s="3"/>
      <c r="O262" s="3"/>
    </row>
    <row r="263" spans="1: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12"/>
      <c r="N263" s="3"/>
      <c r="O263" s="3"/>
    </row>
    <row r="264" spans="1: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12"/>
      <c r="N264" s="3"/>
      <c r="O264" s="3"/>
    </row>
    <row r="265" spans="1: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12"/>
      <c r="N265" s="3"/>
      <c r="O265" s="3"/>
    </row>
    <row r="266" spans="1: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12"/>
      <c r="N266" s="3"/>
      <c r="O266" s="3"/>
    </row>
    <row r="267" spans="1: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12"/>
      <c r="N267" s="3"/>
      <c r="O267" s="3"/>
    </row>
    <row r="268" spans="1: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12"/>
      <c r="N268" s="3"/>
      <c r="O268" s="3"/>
    </row>
    <row r="269" spans="1: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12"/>
      <c r="N269" s="3"/>
      <c r="O269" s="3"/>
    </row>
    <row r="270" spans="1: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12"/>
      <c r="N270" s="3"/>
      <c r="O270" s="3"/>
    </row>
    <row r="271" spans="1: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12"/>
      <c r="N271" s="3"/>
      <c r="O271" s="3"/>
    </row>
    <row r="272" spans="1: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12"/>
      <c r="N272" s="3"/>
      <c r="O272" s="3"/>
    </row>
    <row r="273" spans="1: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12"/>
      <c r="N273" s="3"/>
      <c r="O273" s="3"/>
    </row>
    <row r="274" spans="1: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12"/>
      <c r="N274" s="3"/>
      <c r="O274" s="3"/>
    </row>
    <row r="275" spans="1: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12"/>
      <c r="N275" s="3"/>
      <c r="O275" s="3"/>
    </row>
    <row r="276" spans="1: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12"/>
      <c r="N276" s="3"/>
      <c r="O276" s="3"/>
    </row>
    <row r="277" spans="1: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12"/>
      <c r="N277" s="3"/>
      <c r="O277" s="3"/>
    </row>
    <row r="278" spans="1: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12"/>
      <c r="N278" s="3"/>
      <c r="O278" s="3"/>
    </row>
    <row r="279" spans="1: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12"/>
      <c r="N279" s="3"/>
      <c r="O279" s="3"/>
    </row>
    <row r="280" spans="1: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12"/>
      <c r="N280" s="3"/>
      <c r="O280" s="3"/>
    </row>
    <row r="281" spans="1: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12"/>
      <c r="N281" s="3"/>
      <c r="O281" s="3"/>
    </row>
    <row r="282" spans="1: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12"/>
      <c r="N282" s="3"/>
      <c r="O282" s="3"/>
    </row>
    <row r="283" spans="1: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12"/>
      <c r="N283" s="3"/>
      <c r="O283" s="3"/>
    </row>
    <row r="284" spans="1: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12"/>
      <c r="N284" s="3"/>
      <c r="O284" s="3"/>
    </row>
    <row r="285" spans="1: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12"/>
      <c r="N285" s="3"/>
      <c r="O285" s="3"/>
    </row>
    <row r="286" spans="1: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12"/>
      <c r="N286" s="3"/>
      <c r="O286" s="3"/>
    </row>
    <row r="287" spans="1: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12"/>
      <c r="N287" s="3"/>
      <c r="O287" s="3"/>
    </row>
    <row r="288" spans="1: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12"/>
      <c r="N288" s="3"/>
      <c r="O288" s="3"/>
    </row>
    <row r="289" spans="1: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12"/>
      <c r="N289" s="3"/>
      <c r="O289" s="3"/>
    </row>
    <row r="290" spans="1: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12"/>
      <c r="N290" s="3"/>
      <c r="O290" s="3"/>
    </row>
    <row r="291" spans="1: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12"/>
      <c r="N291" s="3"/>
      <c r="O291" s="3"/>
    </row>
    <row r="292" spans="1: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12"/>
      <c r="N292" s="3"/>
      <c r="O292" s="3"/>
    </row>
    <row r="293" spans="1: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12"/>
      <c r="N293" s="3"/>
      <c r="O293" s="3"/>
    </row>
    <row r="294" spans="1: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12"/>
      <c r="N294" s="3"/>
      <c r="O294" s="3"/>
    </row>
    <row r="295" spans="1: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12"/>
      <c r="N295" s="3"/>
      <c r="O295" s="3"/>
    </row>
    <row r="296" spans="1: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12"/>
      <c r="N296" s="3"/>
      <c r="O296" s="3"/>
    </row>
    <row r="297" spans="1: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12"/>
      <c r="N297" s="3"/>
      <c r="O297" s="3"/>
    </row>
    <row r="298" spans="1: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12"/>
      <c r="N298" s="3"/>
      <c r="O298" s="3"/>
    </row>
    <row r="299" spans="1: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12"/>
      <c r="N299" s="3"/>
      <c r="O299" s="3"/>
    </row>
    <row r="300" spans="1: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12"/>
      <c r="N300" s="3"/>
      <c r="O300" s="3"/>
    </row>
    <row r="301" spans="1: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12"/>
      <c r="N301" s="3"/>
      <c r="O301" s="3"/>
    </row>
    <row r="302" spans="1: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12"/>
      <c r="N302" s="3"/>
      <c r="O302" s="3"/>
    </row>
    <row r="303" spans="1: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12"/>
      <c r="N303" s="3"/>
      <c r="O303" s="3"/>
    </row>
    <row r="304" spans="1: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12"/>
      <c r="N304" s="3"/>
      <c r="O304" s="3"/>
    </row>
    <row r="305" spans="1: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12"/>
      <c r="N305" s="3"/>
      <c r="O305" s="3"/>
    </row>
    <row r="306" spans="1: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12"/>
      <c r="N306" s="3"/>
      <c r="O306" s="3"/>
    </row>
    <row r="307" spans="1: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12"/>
      <c r="N307" s="3"/>
      <c r="O307" s="3"/>
    </row>
    <row r="308" spans="1: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12"/>
      <c r="N308" s="3"/>
      <c r="O308" s="3"/>
    </row>
    <row r="309" spans="1: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12"/>
      <c r="N309" s="3"/>
      <c r="O309" s="3"/>
    </row>
    <row r="310" spans="1: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12"/>
      <c r="N310" s="3"/>
      <c r="O310" s="3"/>
    </row>
    <row r="311" spans="1: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12"/>
      <c r="N311" s="3"/>
      <c r="O311" s="3"/>
    </row>
    <row r="312" spans="1: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12"/>
      <c r="N312" s="3"/>
      <c r="O312" s="3"/>
    </row>
    <row r="313" spans="1: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12"/>
      <c r="N313" s="3"/>
      <c r="O313" s="3"/>
    </row>
    <row r="314" spans="1: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12"/>
      <c r="N314" s="3"/>
      <c r="O314" s="3"/>
    </row>
    <row r="315" spans="1: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12"/>
      <c r="N315" s="3"/>
      <c r="O315" s="3"/>
    </row>
    <row r="316" spans="1: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12"/>
      <c r="N316" s="3"/>
      <c r="O316" s="3"/>
    </row>
    <row r="317" spans="1: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12"/>
      <c r="N317" s="3"/>
      <c r="O317" s="3"/>
    </row>
    <row r="318" spans="1: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12"/>
      <c r="N318" s="3"/>
      <c r="O318" s="3"/>
    </row>
    <row r="319" spans="1: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12"/>
      <c r="N319" s="3"/>
      <c r="O319" s="3"/>
    </row>
    <row r="320" spans="1: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12"/>
      <c r="N320" s="3"/>
      <c r="O320" s="3"/>
    </row>
    <row r="321" spans="1: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12"/>
      <c r="N321" s="3"/>
      <c r="O321" s="3"/>
    </row>
    <row r="322" spans="1: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12"/>
      <c r="N322" s="3"/>
      <c r="O322" s="3"/>
    </row>
    <row r="323" spans="1: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12"/>
      <c r="N323" s="3"/>
      <c r="O323" s="3"/>
    </row>
    <row r="324" spans="1: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12"/>
      <c r="N324" s="3"/>
      <c r="O324" s="3"/>
    </row>
    <row r="325" spans="1: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12"/>
      <c r="N325" s="3"/>
      <c r="O325" s="3"/>
    </row>
    <row r="326" spans="1: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12"/>
      <c r="N326" s="3"/>
      <c r="O326" s="3"/>
    </row>
    <row r="327" spans="1: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12"/>
      <c r="N327" s="3"/>
      <c r="O327" s="3"/>
    </row>
    <row r="328" spans="1: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12"/>
      <c r="N328" s="3"/>
      <c r="O328" s="3"/>
    </row>
    <row r="329" spans="1: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12"/>
      <c r="N329" s="3"/>
      <c r="O329" s="3"/>
    </row>
    <row r="330" spans="1: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12"/>
      <c r="N330" s="3"/>
      <c r="O330" s="3"/>
    </row>
    <row r="331" spans="1: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12"/>
      <c r="N331" s="3"/>
      <c r="O331" s="3"/>
    </row>
    <row r="332" spans="1: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12"/>
      <c r="N332" s="3"/>
      <c r="O332" s="3"/>
    </row>
    <row r="333" spans="1: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12"/>
      <c r="N333" s="3"/>
      <c r="O333" s="3"/>
    </row>
    <row r="334" spans="1: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12"/>
      <c r="N334" s="3"/>
      <c r="O334" s="3"/>
    </row>
    <row r="335" spans="1: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12"/>
      <c r="N335" s="3"/>
      <c r="O335" s="3"/>
    </row>
    <row r="336" spans="1: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12"/>
      <c r="N336" s="3"/>
      <c r="O336" s="3"/>
    </row>
    <row r="337" spans="1: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12"/>
      <c r="N337" s="3"/>
      <c r="O337" s="3"/>
    </row>
    <row r="338" spans="1: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12"/>
      <c r="N338" s="3"/>
      <c r="O338" s="3"/>
    </row>
    <row r="339" spans="1: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12"/>
      <c r="N339" s="3"/>
      <c r="O339" s="3"/>
    </row>
    <row r="340" spans="1: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12"/>
      <c r="N340" s="3"/>
      <c r="O340" s="3"/>
    </row>
    <row r="341" spans="1: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12"/>
      <c r="N341" s="3"/>
      <c r="O341" s="3"/>
    </row>
    <row r="342" spans="1: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12"/>
      <c r="N342" s="3"/>
      <c r="O342" s="3"/>
    </row>
    <row r="343" spans="1: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12"/>
      <c r="N343" s="3"/>
      <c r="O343" s="3"/>
    </row>
    <row r="344" spans="1: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12"/>
      <c r="N344" s="3"/>
      <c r="O344" s="3"/>
    </row>
    <row r="345" spans="1: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12"/>
      <c r="N345" s="3"/>
      <c r="O345" s="3"/>
    </row>
    <row r="346" spans="1: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12"/>
      <c r="N346" s="3"/>
      <c r="O346" s="3"/>
    </row>
    <row r="347" spans="1: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12"/>
      <c r="N347" s="3"/>
      <c r="O347" s="3"/>
    </row>
    <row r="348" spans="1: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12"/>
      <c r="N348" s="3"/>
      <c r="O348" s="3"/>
    </row>
    <row r="349" spans="1: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12"/>
      <c r="N349" s="3"/>
      <c r="O349" s="3"/>
    </row>
    <row r="350" spans="1: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12"/>
      <c r="N350" s="3"/>
      <c r="O350" s="3"/>
    </row>
    <row r="351" spans="1: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12"/>
      <c r="N351" s="3"/>
      <c r="O351" s="3"/>
    </row>
    <row r="352" spans="1: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12"/>
      <c r="N352" s="3"/>
      <c r="O352" s="3"/>
    </row>
    <row r="353" spans="1: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12"/>
      <c r="N353" s="3"/>
      <c r="O353" s="3"/>
    </row>
    <row r="354" spans="1: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12"/>
      <c r="N354" s="3"/>
      <c r="O354" s="3"/>
    </row>
    <row r="355" spans="1: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12"/>
      <c r="N355" s="3"/>
      <c r="O355" s="3"/>
    </row>
    <row r="356" spans="1: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12"/>
      <c r="N356" s="3"/>
      <c r="O356" s="3"/>
    </row>
    <row r="357" spans="1: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12"/>
      <c r="N357" s="3"/>
      <c r="O357" s="3"/>
    </row>
    <row r="358" spans="1: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12"/>
      <c r="N358" s="3"/>
      <c r="O358" s="3"/>
    </row>
    <row r="359" spans="1: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12"/>
      <c r="N359" s="3"/>
      <c r="O359" s="3"/>
    </row>
    <row r="360" spans="1: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12"/>
      <c r="N360" s="3"/>
      <c r="O360" s="3"/>
    </row>
    <row r="361" spans="1: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12"/>
      <c r="N361" s="3"/>
      <c r="O361" s="3"/>
    </row>
    <row r="362" spans="1: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12"/>
      <c r="N362" s="3"/>
      <c r="O362" s="3"/>
    </row>
    <row r="363" spans="1: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12"/>
      <c r="N363" s="3"/>
      <c r="O363" s="3"/>
    </row>
    <row r="364" spans="1: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12"/>
      <c r="N364" s="3"/>
      <c r="O364" s="3"/>
    </row>
    <row r="365" spans="1: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12"/>
      <c r="N365" s="3"/>
      <c r="O365" s="3"/>
    </row>
    <row r="366" spans="1: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12"/>
      <c r="N366" s="3"/>
      <c r="O366" s="3"/>
    </row>
    <row r="367" spans="1: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12"/>
      <c r="N367" s="3"/>
      <c r="O367" s="3"/>
    </row>
    <row r="368" spans="1: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12"/>
      <c r="N368" s="3"/>
      <c r="O368" s="3"/>
    </row>
    <row r="369" spans="1: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12"/>
      <c r="N369" s="3"/>
      <c r="O369" s="3"/>
    </row>
    <row r="370" spans="1: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12"/>
      <c r="N370" s="3"/>
      <c r="O370" s="3"/>
    </row>
    <row r="371" spans="1: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12"/>
      <c r="N371" s="3"/>
      <c r="O371" s="3"/>
    </row>
    <row r="372" spans="1: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12"/>
      <c r="N372" s="3"/>
      <c r="O372" s="3"/>
    </row>
    <row r="373" spans="1: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12"/>
      <c r="N373" s="3"/>
      <c r="O373" s="3"/>
    </row>
    <row r="374" spans="1: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12"/>
      <c r="N374" s="3"/>
      <c r="O374" s="3"/>
    </row>
    <row r="375" spans="1: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12"/>
      <c r="N375" s="3"/>
      <c r="O375" s="3"/>
    </row>
    <row r="376" spans="1: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12"/>
      <c r="N376" s="3"/>
      <c r="O376" s="3"/>
    </row>
    <row r="377" spans="1: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12"/>
      <c r="N377" s="3"/>
      <c r="O377" s="3"/>
    </row>
    <row r="378" spans="1: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12"/>
      <c r="N378" s="3"/>
      <c r="O378" s="3"/>
    </row>
    <row r="379" spans="1: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12"/>
      <c r="N379" s="3"/>
      <c r="O379" s="3"/>
    </row>
    <row r="380" spans="1: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12"/>
      <c r="N380" s="3"/>
      <c r="O380" s="3"/>
    </row>
    <row r="381" spans="1: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12"/>
      <c r="N381" s="3"/>
      <c r="O381" s="3"/>
    </row>
    <row r="382" spans="1: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12"/>
      <c r="N382" s="3"/>
      <c r="O382" s="3"/>
    </row>
    <row r="383" spans="1: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12"/>
      <c r="N383" s="3"/>
      <c r="O383" s="3"/>
    </row>
    <row r="384" spans="1: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12"/>
      <c r="N384" s="3"/>
      <c r="O384" s="3"/>
    </row>
    <row r="385" spans="1: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12"/>
      <c r="N385" s="3"/>
      <c r="O385" s="3"/>
    </row>
    <row r="386" spans="1: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12"/>
      <c r="N386" s="3"/>
      <c r="O386" s="3"/>
    </row>
    <row r="387" spans="1: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12"/>
      <c r="N387" s="3"/>
      <c r="O387" s="3"/>
    </row>
    <row r="388" spans="1: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12"/>
      <c r="N388" s="3"/>
      <c r="O388" s="3"/>
    </row>
    <row r="389" spans="1: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12"/>
      <c r="N389" s="3"/>
      <c r="O389" s="3"/>
    </row>
    <row r="390" spans="1: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12"/>
      <c r="N390" s="3"/>
      <c r="O390" s="3"/>
    </row>
    <row r="391" spans="1: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12"/>
      <c r="N391" s="3"/>
      <c r="O391" s="3"/>
    </row>
    <row r="392" spans="1: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12"/>
      <c r="N392" s="3"/>
      <c r="O392" s="3"/>
    </row>
    <row r="393" spans="1: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12"/>
      <c r="N393" s="3"/>
      <c r="O393" s="3"/>
    </row>
    <row r="394" spans="1: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12"/>
      <c r="N394" s="3"/>
      <c r="O394" s="3"/>
    </row>
    <row r="395" spans="1: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12"/>
      <c r="N395" s="3"/>
      <c r="O395" s="3"/>
    </row>
    <row r="396" spans="1: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12"/>
      <c r="N396" s="3"/>
      <c r="O396" s="3"/>
    </row>
    <row r="397" spans="1: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12"/>
      <c r="N397" s="3"/>
      <c r="O397" s="3"/>
    </row>
    <row r="398" spans="1: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12"/>
      <c r="N398" s="3"/>
      <c r="O398" s="3"/>
    </row>
    <row r="399" spans="1: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12"/>
      <c r="N399" s="3"/>
      <c r="O399" s="3"/>
    </row>
    <row r="400" spans="1: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12"/>
      <c r="N400" s="3"/>
      <c r="O400" s="3"/>
    </row>
    <row r="401" spans="1: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12"/>
      <c r="N401" s="3"/>
      <c r="O401" s="3"/>
    </row>
    <row r="402" spans="1: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12"/>
      <c r="N402" s="3"/>
      <c r="O402" s="3"/>
    </row>
    <row r="403" spans="1: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12"/>
      <c r="N403" s="3"/>
      <c r="O403" s="3"/>
    </row>
    <row r="404" spans="1: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12"/>
      <c r="N404" s="3"/>
      <c r="O404" s="3"/>
    </row>
    <row r="405" spans="1: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12"/>
      <c r="N405" s="3"/>
      <c r="O405" s="3"/>
    </row>
    <row r="406" spans="1: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12"/>
      <c r="N406" s="3"/>
      <c r="O406" s="3"/>
    </row>
    <row r="407" spans="1: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12"/>
      <c r="N407" s="3"/>
      <c r="O407" s="3"/>
    </row>
    <row r="408" spans="1: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12"/>
      <c r="N408" s="3"/>
      <c r="O408" s="3"/>
    </row>
    <row r="409" spans="1: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12"/>
      <c r="N409" s="3"/>
      <c r="O409" s="3"/>
    </row>
    <row r="410" spans="1: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12"/>
      <c r="N410" s="3"/>
      <c r="O410" s="3"/>
    </row>
    <row r="411" spans="1: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12"/>
      <c r="N411" s="3"/>
      <c r="O411" s="3"/>
    </row>
    <row r="412" spans="1: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12"/>
      <c r="N412" s="3"/>
      <c r="O412" s="3"/>
    </row>
    <row r="413" spans="1: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12"/>
      <c r="N413" s="3"/>
      <c r="O413" s="3"/>
    </row>
    <row r="414" spans="1: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12"/>
      <c r="N414" s="3"/>
      <c r="O414" s="3"/>
    </row>
    <row r="415" spans="1: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12"/>
      <c r="N415" s="3"/>
      <c r="O415" s="3"/>
    </row>
    <row r="416" spans="1: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12"/>
      <c r="N416" s="3"/>
      <c r="O416" s="3"/>
    </row>
    <row r="417" spans="1: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12"/>
      <c r="N417" s="3"/>
      <c r="O417" s="3"/>
    </row>
    <row r="418" spans="1: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12"/>
      <c r="N418" s="3"/>
      <c r="O418" s="3"/>
    </row>
    <row r="419" spans="1: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12"/>
      <c r="N419" s="3"/>
      <c r="O419" s="3"/>
    </row>
    <row r="420" spans="1: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12"/>
      <c r="N420" s="3"/>
      <c r="O420" s="3"/>
    </row>
    <row r="421" spans="1: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12"/>
      <c r="N421" s="3"/>
      <c r="O421" s="3"/>
    </row>
    <row r="422" spans="1: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12"/>
      <c r="N422" s="3"/>
      <c r="O422" s="3"/>
    </row>
    <row r="423" spans="1: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12"/>
      <c r="N423" s="3"/>
      <c r="O423" s="3"/>
    </row>
    <row r="424" spans="1: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12"/>
      <c r="N424" s="3"/>
      <c r="O424" s="3"/>
    </row>
    <row r="425" spans="1: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12"/>
      <c r="N425" s="3"/>
      <c r="O425" s="3"/>
    </row>
    <row r="426" spans="1: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12"/>
      <c r="N426" s="3"/>
      <c r="O426" s="3"/>
    </row>
    <row r="427" spans="1: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12"/>
      <c r="N427" s="3"/>
      <c r="O427" s="3"/>
    </row>
    <row r="428" spans="1: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12"/>
      <c r="N428" s="3"/>
      <c r="O428" s="3"/>
    </row>
    <row r="429" spans="1: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12"/>
      <c r="N429" s="3"/>
      <c r="O429" s="3"/>
    </row>
    <row r="430" spans="1: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12"/>
      <c r="N430" s="3"/>
      <c r="O430" s="3"/>
    </row>
    <row r="431" spans="1: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12"/>
      <c r="N431" s="3"/>
      <c r="O431" s="3"/>
    </row>
    <row r="432" spans="1: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12"/>
      <c r="N432" s="3"/>
      <c r="O432" s="3"/>
    </row>
    <row r="433" spans="1: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12"/>
      <c r="N433" s="3"/>
      <c r="O433" s="3"/>
    </row>
    <row r="434" spans="1: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12"/>
      <c r="N434" s="3"/>
      <c r="O434" s="3"/>
    </row>
    <row r="435" spans="1: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12"/>
      <c r="N435" s="3"/>
      <c r="O435" s="3"/>
    </row>
    <row r="436" spans="1: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12"/>
      <c r="N436" s="3"/>
      <c r="O436" s="3"/>
    </row>
    <row r="437" spans="1: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12"/>
      <c r="N437" s="3"/>
      <c r="O437" s="3"/>
    </row>
    <row r="438" spans="1: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12"/>
      <c r="N438" s="3"/>
      <c r="O438" s="3"/>
    </row>
    <row r="439" spans="1: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12"/>
      <c r="N439" s="3"/>
      <c r="O439" s="3"/>
    </row>
    <row r="440" spans="1: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12"/>
      <c r="N440" s="3"/>
      <c r="O440" s="3"/>
    </row>
    <row r="441" spans="1: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12"/>
      <c r="N441" s="3"/>
      <c r="O441" s="3"/>
    </row>
    <row r="442" spans="1: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12"/>
      <c r="N442" s="3"/>
      <c r="O442" s="3"/>
    </row>
    <row r="443" spans="1: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12"/>
      <c r="N443" s="3"/>
      <c r="O443" s="3"/>
    </row>
    <row r="444" spans="1: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12"/>
      <c r="N444" s="3"/>
      <c r="O444" s="3"/>
    </row>
    <row r="445" spans="1: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12"/>
      <c r="N445" s="3"/>
      <c r="O445" s="3"/>
    </row>
    <row r="446" spans="1: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12"/>
      <c r="N446" s="3"/>
      <c r="O446" s="3"/>
    </row>
    <row r="447" spans="1: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12"/>
      <c r="N447" s="3"/>
      <c r="O447" s="3"/>
    </row>
    <row r="448" spans="1: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12"/>
      <c r="N448" s="3"/>
      <c r="O448" s="3"/>
    </row>
    <row r="449" spans="1: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12"/>
      <c r="N449" s="3"/>
      <c r="O449" s="3"/>
    </row>
    <row r="450" spans="1: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12"/>
      <c r="N450" s="3"/>
      <c r="O450" s="3"/>
    </row>
    <row r="451" spans="1: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12"/>
      <c r="N451" s="3"/>
      <c r="O451" s="3"/>
    </row>
    <row r="452" spans="1: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12"/>
      <c r="N452" s="3"/>
      <c r="O452" s="3"/>
    </row>
    <row r="453" spans="1: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12"/>
      <c r="N453" s="3"/>
      <c r="O453" s="3"/>
    </row>
    <row r="454" spans="1: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12"/>
      <c r="N454" s="3"/>
      <c r="O454" s="3"/>
    </row>
    <row r="455" spans="1: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12"/>
      <c r="N455" s="3"/>
      <c r="O455" s="3"/>
    </row>
    <row r="456" spans="1: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12"/>
      <c r="N456" s="3"/>
      <c r="O456" s="3"/>
    </row>
    <row r="457" spans="1: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12"/>
      <c r="N457" s="3"/>
      <c r="O457" s="3"/>
    </row>
    <row r="458" spans="1: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12"/>
      <c r="N458" s="3"/>
      <c r="O458" s="3"/>
    </row>
    <row r="459" spans="1: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12"/>
      <c r="N459" s="3"/>
      <c r="O459" s="3"/>
    </row>
    <row r="460" spans="1: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12"/>
      <c r="N460" s="3"/>
      <c r="O460" s="3"/>
    </row>
    <row r="461" spans="1: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12"/>
      <c r="N461" s="3"/>
      <c r="O461" s="3"/>
    </row>
    <row r="462" spans="1: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12"/>
      <c r="N462" s="3"/>
      <c r="O462" s="3"/>
    </row>
    <row r="463" spans="1: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12"/>
      <c r="N463" s="3"/>
      <c r="O463" s="3"/>
    </row>
    <row r="464" spans="1: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12"/>
      <c r="N464" s="3"/>
      <c r="O464" s="3"/>
    </row>
    <row r="465" spans="1: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12"/>
      <c r="N465" s="3"/>
      <c r="O465" s="3"/>
    </row>
    <row r="466" spans="1: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12"/>
      <c r="N466" s="3"/>
      <c r="O466" s="3"/>
    </row>
    <row r="467" spans="1: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12"/>
      <c r="N467" s="3"/>
      <c r="O467" s="3"/>
    </row>
    <row r="468" spans="1: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12"/>
      <c r="N468" s="3"/>
      <c r="O468" s="3"/>
    </row>
    <row r="469" spans="1: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12"/>
      <c r="N469" s="3"/>
      <c r="O469" s="3"/>
    </row>
    <row r="470" spans="1: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12"/>
      <c r="N470" s="3"/>
      <c r="O470" s="3"/>
    </row>
    <row r="471" spans="1: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12"/>
      <c r="N471" s="3"/>
      <c r="O471" s="3"/>
    </row>
    <row r="472" spans="1: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12"/>
      <c r="N472" s="3"/>
      <c r="O472" s="3"/>
    </row>
    <row r="473" spans="1: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12"/>
      <c r="N473" s="3"/>
      <c r="O473" s="3"/>
    </row>
    <row r="474" spans="1: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12"/>
      <c r="N474" s="3"/>
      <c r="O474" s="3"/>
    </row>
    <row r="475" spans="1: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12"/>
      <c r="N475" s="3"/>
      <c r="O475" s="3"/>
    </row>
    <row r="476" spans="1: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12"/>
      <c r="N476" s="3"/>
      <c r="O476" s="3"/>
    </row>
    <row r="477" spans="1: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12"/>
      <c r="N477" s="3"/>
      <c r="O477" s="3"/>
    </row>
    <row r="478" spans="1: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12"/>
      <c r="N478" s="3"/>
      <c r="O478" s="3"/>
    </row>
    <row r="479" spans="1: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12"/>
      <c r="N479" s="3"/>
      <c r="O479" s="3"/>
    </row>
    <row r="480" spans="1: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12"/>
      <c r="N480" s="3"/>
      <c r="O480" s="3"/>
    </row>
    <row r="481" spans="1: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12"/>
      <c r="N481" s="3"/>
      <c r="O481" s="3"/>
    </row>
    <row r="482" spans="1: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12"/>
      <c r="N482" s="3"/>
      <c r="O482" s="3"/>
    </row>
    <row r="483" spans="1: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12"/>
      <c r="N483" s="3"/>
      <c r="O483" s="3"/>
    </row>
    <row r="484" spans="1: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12"/>
      <c r="N484" s="3"/>
      <c r="O484" s="3"/>
    </row>
    <row r="485" spans="1: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12"/>
      <c r="N485" s="3"/>
      <c r="O485" s="3"/>
    </row>
    <row r="486" spans="1: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12"/>
      <c r="N486" s="3"/>
      <c r="O486" s="3"/>
    </row>
    <row r="487" spans="1: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12"/>
      <c r="N487" s="3"/>
      <c r="O487" s="3"/>
    </row>
    <row r="488" spans="1: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12"/>
      <c r="N488" s="3"/>
      <c r="O488" s="3"/>
    </row>
    <row r="489" spans="1: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12"/>
      <c r="N489" s="3"/>
      <c r="O489" s="3"/>
    </row>
    <row r="490" spans="1: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12"/>
      <c r="N490" s="3"/>
      <c r="O490" s="3"/>
    </row>
    <row r="491" spans="1: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12"/>
      <c r="N491" s="3"/>
      <c r="O491" s="3"/>
    </row>
    <row r="492" spans="1: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12"/>
      <c r="N492" s="3"/>
      <c r="O492" s="3"/>
    </row>
    <row r="493" spans="1: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12"/>
      <c r="N493" s="3"/>
      <c r="O493" s="3"/>
    </row>
    <row r="494" spans="1: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12"/>
      <c r="N494" s="3"/>
      <c r="O494" s="3"/>
    </row>
    <row r="495" spans="1: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12"/>
      <c r="N495" s="3"/>
      <c r="O495" s="3"/>
    </row>
    <row r="496" spans="1: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12"/>
      <c r="N496" s="3"/>
      <c r="O496" s="3"/>
    </row>
    <row r="497" spans="1: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12"/>
      <c r="N497" s="3"/>
      <c r="O497" s="3"/>
    </row>
    <row r="498" spans="1: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12"/>
      <c r="N498" s="3"/>
      <c r="O498" s="3"/>
    </row>
    <row r="499" spans="1: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12"/>
      <c r="N499" s="3"/>
      <c r="O499" s="3"/>
    </row>
    <row r="500" spans="1: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12"/>
      <c r="N500" s="3"/>
      <c r="O500" s="3"/>
    </row>
  </sheetData>
  <mergeCells count="1">
    <mergeCell ref="A1:O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Listes_Controlees!$E$4:$E$9</xm:f>
          </x14:formula1>
          <xm:sqref>E3:E500</xm:sqref>
        </x14:dataValidation>
        <x14:dataValidation type="list" xr:uid="{00000000-0002-0000-0600-000001000000}">
          <x14:formula1>
            <xm:f>Listes_Controlees!$B$4:$B$9</xm:f>
          </x14:formula1>
          <xm:sqref>N3:N500</xm:sqref>
        </x14:dataValidation>
        <x14:dataValidation type="list" xr:uid="{00000000-0002-0000-0600-000002000000}">
          <x14:formula1>
            <xm:f>Listes_Controlees!$A$4:$A$8</xm:f>
          </x14:formula1>
          <xm:sqref>O3:O500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00"/>
  <sheetViews>
    <sheetView workbookViewId="0"/>
  </sheetViews>
  <sheetFormatPr defaultRowHeight="14"/>
  <cols>
    <col min="1" max="1" width="16" customWidth="1"/>
    <col min="2" max="2" width="12" customWidth="1"/>
    <col min="3" max="3" width="18" customWidth="1"/>
    <col min="4" max="4" width="26" customWidth="1"/>
    <col min="5" max="5" width="42" customWidth="1"/>
    <col min="6" max="6" width="14" customWidth="1"/>
    <col min="7" max="7" width="24" customWidth="1"/>
    <col min="8" max="8" width="18" customWidth="1"/>
    <col min="9" max="9" width="28" customWidth="1"/>
    <col min="10" max="10" width="18" customWidth="1"/>
    <col min="11" max="11" width="26" customWidth="1"/>
    <col min="12" max="13" width="18" customWidth="1"/>
    <col min="14" max="14" width="16" customWidth="1"/>
  </cols>
  <sheetData>
    <row r="1" spans="1:14" ht="19">
      <c r="A1" s="15" t="s">
        <v>900</v>
      </c>
      <c r="B1" s="15" t="s">
        <v>900</v>
      </c>
      <c r="C1" s="15" t="s">
        <v>900</v>
      </c>
      <c r="D1" s="15" t="s">
        <v>900</v>
      </c>
      <c r="E1" s="15" t="s">
        <v>900</v>
      </c>
      <c r="F1" s="15" t="s">
        <v>900</v>
      </c>
      <c r="G1" s="15" t="s">
        <v>900</v>
      </c>
      <c r="H1" s="15" t="s">
        <v>900</v>
      </c>
      <c r="I1" s="15" t="s">
        <v>900</v>
      </c>
      <c r="J1" s="15" t="s">
        <v>900</v>
      </c>
      <c r="K1" s="15" t="s">
        <v>900</v>
      </c>
      <c r="L1" s="15" t="s">
        <v>900</v>
      </c>
      <c r="M1" s="15" t="s">
        <v>900</v>
      </c>
      <c r="N1" s="15" t="s">
        <v>900</v>
      </c>
    </row>
    <row r="2" spans="1:14">
      <c r="A2" s="11" t="s">
        <v>901</v>
      </c>
      <c r="B2" s="11" t="s">
        <v>864</v>
      </c>
      <c r="C2" s="11" t="s">
        <v>892</v>
      </c>
      <c r="D2" s="11" t="s">
        <v>1</v>
      </c>
      <c r="E2" s="11" t="s">
        <v>836</v>
      </c>
      <c r="F2" s="11" t="s">
        <v>896</v>
      </c>
      <c r="G2" s="11" t="s">
        <v>902</v>
      </c>
      <c r="H2" s="11" t="s">
        <v>22</v>
      </c>
      <c r="I2" s="11" t="s">
        <v>903</v>
      </c>
      <c r="J2" s="11" t="s">
        <v>895</v>
      </c>
      <c r="K2" s="11" t="s">
        <v>873</v>
      </c>
      <c r="L2" s="11" t="s">
        <v>874</v>
      </c>
      <c r="M2" s="11" t="s">
        <v>875</v>
      </c>
      <c r="N2" s="11" t="s">
        <v>39</v>
      </c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2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12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12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2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2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12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2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12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12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12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12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2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12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12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2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12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12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12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12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12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12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12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12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12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12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12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12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12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12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12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12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12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12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12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12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12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12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12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2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12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12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12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12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12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12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12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12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12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12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12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12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12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12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12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12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12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12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12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12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12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12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12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2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12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12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12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12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12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12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12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2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12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2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2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12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12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2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2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2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2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12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12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12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12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12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12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12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12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12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12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12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12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12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12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12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12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2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2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2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2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2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2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2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2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2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2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2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2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2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2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2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2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2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12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12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12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12"/>
      <c r="M120" s="3"/>
      <c r="N120" s="3"/>
    </row>
    <row r="12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12"/>
      <c r="M121" s="3"/>
      <c r="N121" s="3"/>
    </row>
    <row r="122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12"/>
      <c r="M122" s="3"/>
      <c r="N122" s="3"/>
    </row>
    <row r="123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12"/>
      <c r="M123" s="3"/>
      <c r="N123" s="3"/>
    </row>
    <row r="124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12"/>
      <c r="M124" s="3"/>
      <c r="N124" s="3"/>
    </row>
    <row r="125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12"/>
      <c r="M125" s="3"/>
      <c r="N125" s="3"/>
    </row>
    <row r="126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12"/>
      <c r="M126" s="3"/>
      <c r="N126" s="3"/>
    </row>
    <row r="127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12"/>
      <c r="M127" s="3"/>
      <c r="N127" s="3"/>
    </row>
    <row r="128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12"/>
      <c r="M128" s="3"/>
      <c r="N128" s="3"/>
    </row>
    <row r="129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12"/>
      <c r="M129" s="3"/>
      <c r="N129" s="3"/>
    </row>
    <row r="130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12"/>
      <c r="M130" s="3"/>
      <c r="N130" s="3"/>
    </row>
    <row r="13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12"/>
      <c r="M131" s="3"/>
      <c r="N131" s="3"/>
    </row>
    <row r="132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12"/>
      <c r="M132" s="3"/>
      <c r="N132" s="3"/>
    </row>
    <row r="133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12"/>
      <c r="M133" s="3"/>
      <c r="N133" s="3"/>
    </row>
    <row r="134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12"/>
      <c r="M134" s="3"/>
      <c r="N134" s="3"/>
    </row>
    <row r="135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12"/>
      <c r="M135" s="3"/>
      <c r="N135" s="3"/>
    </row>
    <row r="136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12"/>
      <c r="M136" s="3"/>
      <c r="N136" s="3"/>
    </row>
    <row r="137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12"/>
      <c r="M137" s="3"/>
      <c r="N137" s="3"/>
    </row>
    <row r="138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12"/>
      <c r="M138" s="3"/>
      <c r="N138" s="3"/>
    </row>
    <row r="139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12"/>
      <c r="M139" s="3"/>
      <c r="N139" s="3"/>
    </row>
    <row r="140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12"/>
      <c r="M140" s="3"/>
      <c r="N140" s="3"/>
    </row>
    <row r="14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12"/>
      <c r="M141" s="3"/>
      <c r="N141" s="3"/>
    </row>
    <row r="142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12"/>
      <c r="M142" s="3"/>
      <c r="N142" s="3"/>
    </row>
    <row r="143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12"/>
      <c r="M143" s="3"/>
      <c r="N143" s="3"/>
    </row>
    <row r="144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2"/>
      <c r="M144" s="3"/>
      <c r="N144" s="3"/>
    </row>
    <row r="145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2"/>
      <c r="M145" s="3"/>
      <c r="N145" s="3"/>
    </row>
    <row r="146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2"/>
      <c r="M146" s="3"/>
      <c r="N146" s="3"/>
    </row>
    <row r="147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2"/>
      <c r="M147" s="3"/>
      <c r="N147" s="3"/>
    </row>
    <row r="148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2"/>
      <c r="M148" s="3"/>
      <c r="N148" s="3"/>
    </row>
    <row r="149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2"/>
      <c r="M149" s="3"/>
      <c r="N149" s="3"/>
    </row>
    <row r="150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2"/>
      <c r="M150" s="3"/>
      <c r="N150" s="3"/>
    </row>
    <row r="15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2"/>
      <c r="M151" s="3"/>
      <c r="N151" s="3"/>
    </row>
    <row r="152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2"/>
      <c r="M152" s="3"/>
      <c r="N152" s="3"/>
    </row>
    <row r="153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2"/>
      <c r="M153" s="3"/>
      <c r="N153" s="3"/>
    </row>
    <row r="154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12"/>
      <c r="M154" s="3"/>
      <c r="N154" s="3"/>
    </row>
    <row r="155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12"/>
      <c r="M155" s="3"/>
      <c r="N155" s="3"/>
    </row>
    <row r="156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12"/>
      <c r="M156" s="3"/>
      <c r="N156" s="3"/>
    </row>
    <row r="157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12"/>
      <c r="M157" s="3"/>
      <c r="N157" s="3"/>
    </row>
    <row r="158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12"/>
      <c r="M158" s="3"/>
      <c r="N158" s="3"/>
    </row>
    <row r="159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12"/>
      <c r="M159" s="3"/>
      <c r="N159" s="3"/>
    </row>
    <row r="160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12"/>
      <c r="M160" s="3"/>
      <c r="N160" s="3"/>
    </row>
    <row r="16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2"/>
      <c r="M161" s="3"/>
      <c r="N161" s="3"/>
    </row>
    <row r="162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12"/>
      <c r="M162" s="3"/>
      <c r="N162" s="3"/>
    </row>
    <row r="163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12"/>
      <c r="M163" s="3"/>
      <c r="N163" s="3"/>
    </row>
    <row r="164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12"/>
      <c r="M164" s="3"/>
      <c r="N164" s="3"/>
    </row>
    <row r="165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12"/>
      <c r="M165" s="3"/>
      <c r="N165" s="3"/>
    </row>
    <row r="166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12"/>
      <c r="M166" s="3"/>
      <c r="N166" s="3"/>
    </row>
    <row r="167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12"/>
      <c r="M167" s="3"/>
      <c r="N167" s="3"/>
    </row>
    <row r="168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12"/>
      <c r="M168" s="3"/>
      <c r="N168" s="3"/>
    </row>
    <row r="169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12"/>
      <c r="M169" s="3"/>
      <c r="N169" s="3"/>
    </row>
    <row r="170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12"/>
      <c r="M170" s="3"/>
      <c r="N170" s="3"/>
    </row>
    <row r="17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12"/>
      <c r="M171" s="3"/>
      <c r="N171" s="3"/>
    </row>
    <row r="172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12"/>
      <c r="M172" s="3"/>
      <c r="N172" s="3"/>
    </row>
    <row r="173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12"/>
      <c r="M173" s="3"/>
      <c r="N173" s="3"/>
    </row>
    <row r="174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2"/>
      <c r="M174" s="3"/>
      <c r="N174" s="3"/>
    </row>
    <row r="175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12"/>
      <c r="M175" s="3"/>
      <c r="N175" s="3"/>
    </row>
    <row r="176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2"/>
      <c r="M176" s="3"/>
      <c r="N176" s="3"/>
    </row>
    <row r="177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12"/>
      <c r="M177" s="3"/>
      <c r="N177" s="3"/>
    </row>
    <row r="178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12"/>
      <c r="M178" s="3"/>
      <c r="N178" s="3"/>
    </row>
    <row r="179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12"/>
      <c r="M179" s="3"/>
      <c r="N179" s="3"/>
    </row>
    <row r="180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12"/>
      <c r="M180" s="3"/>
      <c r="N180" s="3"/>
    </row>
    <row r="18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12"/>
      <c r="M181" s="3"/>
      <c r="N181" s="3"/>
    </row>
    <row r="182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12"/>
      <c r="M182" s="3"/>
      <c r="N182" s="3"/>
    </row>
    <row r="183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2"/>
      <c r="M183" s="3"/>
      <c r="N183" s="3"/>
    </row>
    <row r="184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12"/>
      <c r="M184" s="3"/>
      <c r="N184" s="3"/>
    </row>
    <row r="185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12"/>
      <c r="M185" s="3"/>
      <c r="N185" s="3"/>
    </row>
    <row r="186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12"/>
      <c r="M186" s="3"/>
      <c r="N186" s="3"/>
    </row>
    <row r="187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12"/>
      <c r="M187" s="3"/>
      <c r="N187" s="3"/>
    </row>
    <row r="188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12"/>
      <c r="M188" s="3"/>
      <c r="N188" s="3"/>
    </row>
    <row r="189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12"/>
      <c r="M189" s="3"/>
      <c r="N189" s="3"/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12"/>
      <c r="M190" s="3"/>
      <c r="N190" s="3"/>
    </row>
    <row r="19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12"/>
      <c r="M191" s="3"/>
      <c r="N191" s="3"/>
    </row>
    <row r="192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12"/>
      <c r="M192" s="3"/>
      <c r="N192" s="3"/>
    </row>
    <row r="193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12"/>
      <c r="M193" s="3"/>
      <c r="N193" s="3"/>
    </row>
    <row r="194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12"/>
      <c r="M194" s="3"/>
      <c r="N194" s="3"/>
    </row>
    <row r="195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12"/>
      <c r="M195" s="3"/>
      <c r="N195" s="3"/>
    </row>
    <row r="196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12"/>
      <c r="M196" s="3"/>
      <c r="N196" s="3"/>
    </row>
    <row r="197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12"/>
      <c r="M197" s="3"/>
      <c r="N197" s="3"/>
    </row>
    <row r="198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12"/>
      <c r="M198" s="3"/>
      <c r="N198" s="3"/>
    </row>
    <row r="199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12"/>
      <c r="M199" s="3"/>
      <c r="N199" s="3"/>
    </row>
    <row r="200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12"/>
      <c r="M200" s="3"/>
      <c r="N200" s="3"/>
    </row>
    <row r="20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12"/>
      <c r="M201" s="3"/>
      <c r="N201" s="3"/>
    </row>
    <row r="202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12"/>
      <c r="M202" s="3"/>
      <c r="N202" s="3"/>
    </row>
    <row r="203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12"/>
      <c r="M203" s="3"/>
      <c r="N203" s="3"/>
    </row>
    <row r="204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12"/>
      <c r="M204" s="3"/>
      <c r="N204" s="3"/>
    </row>
    <row r="205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12"/>
      <c r="M205" s="3"/>
      <c r="N205" s="3"/>
    </row>
    <row r="206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12"/>
      <c r="M206" s="3"/>
      <c r="N206" s="3"/>
    </row>
    <row r="207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2"/>
      <c r="M207" s="3"/>
      <c r="N207" s="3"/>
    </row>
    <row r="208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2"/>
      <c r="M208" s="3"/>
      <c r="N208" s="3"/>
    </row>
    <row r="209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2"/>
      <c r="M209" s="3"/>
      <c r="N209" s="3"/>
    </row>
    <row r="210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12"/>
      <c r="M210" s="3"/>
      <c r="N210" s="3"/>
    </row>
    <row r="21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12"/>
      <c r="M211" s="3"/>
      <c r="N211" s="3"/>
    </row>
    <row r="212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12"/>
      <c r="M212" s="3"/>
      <c r="N212" s="3"/>
    </row>
    <row r="213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12"/>
      <c r="M213" s="3"/>
      <c r="N213" s="3"/>
    </row>
    <row r="214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12"/>
      <c r="M214" s="3"/>
      <c r="N214" s="3"/>
    </row>
    <row r="215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12"/>
      <c r="M215" s="3"/>
      <c r="N215" s="3"/>
    </row>
    <row r="216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12"/>
      <c r="M216" s="3"/>
      <c r="N216" s="3"/>
    </row>
    <row r="217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2"/>
      <c r="M217" s="3"/>
      <c r="N217" s="3"/>
    </row>
    <row r="218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2"/>
      <c r="M218" s="3"/>
      <c r="N218" s="3"/>
    </row>
    <row r="219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2"/>
      <c r="M219" s="3"/>
      <c r="N219" s="3"/>
    </row>
    <row r="220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12"/>
      <c r="M220" s="3"/>
      <c r="N220" s="3"/>
    </row>
    <row r="22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2"/>
      <c r="M221" s="3"/>
      <c r="N221" s="3"/>
    </row>
    <row r="222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2"/>
      <c r="M222" s="3"/>
      <c r="N222" s="3"/>
    </row>
    <row r="223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2"/>
      <c r="M223" s="3"/>
      <c r="N223" s="3"/>
    </row>
    <row r="224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2"/>
      <c r="M224" s="3"/>
      <c r="N224" s="3"/>
    </row>
    <row r="225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2"/>
      <c r="M225" s="3"/>
      <c r="N225" s="3"/>
    </row>
    <row r="226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2"/>
      <c r="M226" s="3"/>
      <c r="N226" s="3"/>
    </row>
    <row r="227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2"/>
      <c r="M227" s="3"/>
      <c r="N227" s="3"/>
    </row>
    <row r="228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2"/>
      <c r="M228" s="3"/>
      <c r="N228" s="3"/>
    </row>
    <row r="229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2"/>
      <c r="M229" s="3"/>
      <c r="N229" s="3"/>
    </row>
    <row r="230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2"/>
      <c r="M230" s="3"/>
      <c r="N230" s="3"/>
    </row>
    <row r="23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12"/>
      <c r="M231" s="3"/>
      <c r="N231" s="3"/>
    </row>
    <row r="232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12"/>
      <c r="M232" s="3"/>
      <c r="N232" s="3"/>
    </row>
    <row r="233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12"/>
      <c r="M233" s="3"/>
      <c r="N233" s="3"/>
    </row>
    <row r="234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12"/>
      <c r="M234" s="3"/>
      <c r="N234" s="3"/>
    </row>
    <row r="235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12"/>
      <c r="M235" s="3"/>
      <c r="N235" s="3"/>
    </row>
    <row r="236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12"/>
      <c r="M236" s="3"/>
      <c r="N236" s="3"/>
    </row>
    <row r="237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12"/>
      <c r="M237" s="3"/>
      <c r="N237" s="3"/>
    </row>
    <row r="238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12"/>
      <c r="M238" s="3"/>
      <c r="N238" s="3"/>
    </row>
    <row r="239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12"/>
      <c r="M239" s="3"/>
      <c r="N239" s="3"/>
    </row>
    <row r="240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12"/>
      <c r="M240" s="3"/>
      <c r="N240" s="3"/>
    </row>
    <row r="24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12"/>
      <c r="M241" s="3"/>
      <c r="N241" s="3"/>
    </row>
    <row r="242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12"/>
      <c r="M242" s="3"/>
      <c r="N242" s="3"/>
    </row>
    <row r="243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12"/>
      <c r="M243" s="3"/>
      <c r="N243" s="3"/>
    </row>
    <row r="244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12"/>
      <c r="M244" s="3"/>
      <c r="N244" s="3"/>
    </row>
    <row r="245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2"/>
      <c r="M245" s="3"/>
      <c r="N245" s="3"/>
    </row>
    <row r="246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12"/>
      <c r="M246" s="3"/>
      <c r="N246" s="3"/>
    </row>
    <row r="247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12"/>
      <c r="M247" s="3"/>
      <c r="N247" s="3"/>
    </row>
    <row r="248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2"/>
      <c r="M248" s="3"/>
      <c r="N248" s="3"/>
    </row>
    <row r="249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12"/>
      <c r="M249" s="3"/>
      <c r="N249" s="3"/>
    </row>
    <row r="250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12"/>
      <c r="M250" s="3"/>
      <c r="N250" s="3"/>
    </row>
    <row r="25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12"/>
      <c r="M251" s="3"/>
      <c r="N251" s="3"/>
    </row>
    <row r="252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12"/>
      <c r="M252" s="3"/>
      <c r="N252" s="3"/>
    </row>
    <row r="253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12"/>
      <c r="M253" s="3"/>
      <c r="N253" s="3"/>
    </row>
    <row r="254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12"/>
      <c r="M254" s="3"/>
      <c r="N254" s="3"/>
    </row>
    <row r="255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12"/>
      <c r="M255" s="3"/>
      <c r="N255" s="3"/>
    </row>
    <row r="256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12"/>
      <c r="M256" s="3"/>
      <c r="N256" s="3"/>
    </row>
    <row r="257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12"/>
      <c r="M257" s="3"/>
      <c r="N257" s="3"/>
    </row>
    <row r="258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12"/>
      <c r="M258" s="3"/>
      <c r="N258" s="3"/>
    </row>
    <row r="259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12"/>
      <c r="M259" s="3"/>
      <c r="N259" s="3"/>
    </row>
    <row r="260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12"/>
      <c r="M260" s="3"/>
      <c r="N260" s="3"/>
    </row>
    <row r="261" spans="1:1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12"/>
      <c r="M261" s="3"/>
      <c r="N261" s="3"/>
    </row>
    <row r="262" spans="1:1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12"/>
      <c r="M262" s="3"/>
      <c r="N262" s="3"/>
    </row>
    <row r="263" spans="1: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12"/>
      <c r="M263" s="3"/>
      <c r="N263" s="3"/>
    </row>
    <row r="264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12"/>
      <c r="M264" s="3"/>
      <c r="N264" s="3"/>
    </row>
    <row r="265" spans="1:1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12"/>
      <c r="M265" s="3"/>
      <c r="N265" s="3"/>
    </row>
    <row r="266" spans="1: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12"/>
      <c r="M266" s="3"/>
      <c r="N266" s="3"/>
    </row>
    <row r="267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12"/>
      <c r="M267" s="3"/>
      <c r="N267" s="3"/>
    </row>
    <row r="268" spans="1:1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12"/>
      <c r="M268" s="3"/>
      <c r="N268" s="3"/>
    </row>
    <row r="269" spans="1:1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12"/>
      <c r="M269" s="3"/>
      <c r="N269" s="3"/>
    </row>
    <row r="270" spans="1:1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12"/>
      <c r="M270" s="3"/>
      <c r="N270" s="3"/>
    </row>
    <row r="27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12"/>
      <c r="M271" s="3"/>
      <c r="N271" s="3"/>
    </row>
    <row r="272" spans="1:1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2"/>
      <c r="M272" s="3"/>
      <c r="N272" s="3"/>
    </row>
    <row r="273" spans="1:1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12"/>
      <c r="M273" s="3"/>
      <c r="N273" s="3"/>
    </row>
    <row r="274" spans="1:1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12"/>
      <c r="M274" s="3"/>
      <c r="N274" s="3"/>
    </row>
    <row r="275" spans="1:1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12"/>
      <c r="M275" s="3"/>
      <c r="N275" s="3"/>
    </row>
    <row r="276" spans="1:1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12"/>
      <c r="M276" s="3"/>
      <c r="N276" s="3"/>
    </row>
    <row r="277" spans="1:1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12"/>
      <c r="M277" s="3"/>
      <c r="N277" s="3"/>
    </row>
    <row r="278" spans="1:1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12"/>
      <c r="M278" s="3"/>
      <c r="N278" s="3"/>
    </row>
    <row r="279" spans="1:1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12"/>
      <c r="M279" s="3"/>
      <c r="N279" s="3"/>
    </row>
    <row r="280" spans="1:1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12"/>
      <c r="M280" s="3"/>
      <c r="N280" s="3"/>
    </row>
    <row r="281" spans="1:1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12"/>
      <c r="M281" s="3"/>
      <c r="N281" s="3"/>
    </row>
    <row r="282" spans="1:1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12"/>
      <c r="M282" s="3"/>
      <c r="N282" s="3"/>
    </row>
    <row r="283" spans="1:1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12"/>
      <c r="M283" s="3"/>
      <c r="N283" s="3"/>
    </row>
    <row r="284" spans="1:1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12"/>
      <c r="M284" s="3"/>
      <c r="N284" s="3"/>
    </row>
    <row r="285" spans="1:1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12"/>
      <c r="M285" s="3"/>
      <c r="N285" s="3"/>
    </row>
    <row r="286" spans="1:1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12"/>
      <c r="M286" s="3"/>
      <c r="N286" s="3"/>
    </row>
    <row r="287" spans="1:1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12"/>
      <c r="M287" s="3"/>
      <c r="N287" s="3"/>
    </row>
    <row r="288" spans="1:1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12"/>
      <c r="M288" s="3"/>
      <c r="N288" s="3"/>
    </row>
    <row r="289" spans="1:1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12"/>
      <c r="M289" s="3"/>
      <c r="N289" s="3"/>
    </row>
    <row r="290" spans="1:1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12"/>
      <c r="M290" s="3"/>
      <c r="N290" s="3"/>
    </row>
    <row r="291" spans="1:1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12"/>
      <c r="M291" s="3"/>
      <c r="N291" s="3"/>
    </row>
    <row r="292" spans="1:1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12"/>
      <c r="M292" s="3"/>
      <c r="N292" s="3"/>
    </row>
    <row r="293" spans="1:1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12"/>
      <c r="M293" s="3"/>
      <c r="N293" s="3"/>
    </row>
    <row r="294" spans="1:1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12"/>
      <c r="M294" s="3"/>
      <c r="N294" s="3"/>
    </row>
    <row r="295" spans="1:1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12"/>
      <c r="M295" s="3"/>
      <c r="N295" s="3"/>
    </row>
    <row r="296" spans="1:1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12"/>
      <c r="M296" s="3"/>
      <c r="N296" s="3"/>
    </row>
    <row r="297" spans="1:1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12"/>
      <c r="M297" s="3"/>
      <c r="N297" s="3"/>
    </row>
    <row r="298" spans="1: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12"/>
      <c r="M298" s="3"/>
      <c r="N298" s="3"/>
    </row>
    <row r="299" spans="1:1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12"/>
      <c r="M299" s="3"/>
      <c r="N299" s="3"/>
    </row>
    <row r="300" spans="1:1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12"/>
      <c r="M300" s="3"/>
      <c r="N300" s="3"/>
    </row>
    <row r="301" spans="1:1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12"/>
      <c r="M301" s="3"/>
      <c r="N301" s="3"/>
    </row>
    <row r="302" spans="1:1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12"/>
      <c r="M302" s="3"/>
      <c r="N302" s="3"/>
    </row>
    <row r="303" spans="1:1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12"/>
      <c r="M303" s="3"/>
      <c r="N303" s="3"/>
    </row>
    <row r="304" spans="1:1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12"/>
      <c r="M304" s="3"/>
      <c r="N304" s="3"/>
    </row>
    <row r="305" spans="1:1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12"/>
      <c r="M305" s="3"/>
      <c r="N305" s="3"/>
    </row>
    <row r="306" spans="1:1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12"/>
      <c r="M306" s="3"/>
      <c r="N306" s="3"/>
    </row>
    <row r="307" spans="1:1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12"/>
      <c r="M307" s="3"/>
      <c r="N307" s="3"/>
    </row>
    <row r="308" spans="1:1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12"/>
      <c r="M308" s="3"/>
      <c r="N308" s="3"/>
    </row>
    <row r="309" spans="1:1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12"/>
      <c r="M309" s="3"/>
      <c r="N309" s="3"/>
    </row>
    <row r="310" spans="1:1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12"/>
      <c r="M310" s="3"/>
      <c r="N310" s="3"/>
    </row>
    <row r="311" spans="1:1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2"/>
      <c r="M311" s="3"/>
      <c r="N311" s="3"/>
    </row>
    <row r="312" spans="1:1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2"/>
      <c r="M312" s="3"/>
      <c r="N312" s="3"/>
    </row>
    <row r="313" spans="1:1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2"/>
      <c r="M313" s="3"/>
      <c r="N313" s="3"/>
    </row>
    <row r="314" spans="1: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2"/>
      <c r="M314" s="3"/>
      <c r="N314" s="3"/>
    </row>
    <row r="315" spans="1:1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2"/>
      <c r="M315" s="3"/>
      <c r="N315" s="3"/>
    </row>
    <row r="316" spans="1:1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2"/>
      <c r="M316" s="3"/>
      <c r="N316" s="3"/>
    </row>
    <row r="317" spans="1:1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2"/>
      <c r="M317" s="3"/>
      <c r="N317" s="3"/>
    </row>
    <row r="318" spans="1:1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2"/>
      <c r="M318" s="3"/>
      <c r="N318" s="3"/>
    </row>
    <row r="319" spans="1:1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2"/>
      <c r="M319" s="3"/>
      <c r="N319" s="3"/>
    </row>
    <row r="320" spans="1:1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2"/>
      <c r="M320" s="3"/>
      <c r="N320" s="3"/>
    </row>
    <row r="321" spans="1:1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2"/>
      <c r="M321" s="3"/>
      <c r="N321" s="3"/>
    </row>
    <row r="322" spans="1:1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12"/>
      <c r="M322" s="3"/>
      <c r="N322" s="3"/>
    </row>
    <row r="323" spans="1:1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2"/>
      <c r="M323" s="3"/>
      <c r="N323" s="3"/>
    </row>
    <row r="324" spans="1:1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2"/>
      <c r="M324" s="3"/>
      <c r="N324" s="3"/>
    </row>
    <row r="325" spans="1:1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12"/>
      <c r="M325" s="3"/>
      <c r="N325" s="3"/>
    </row>
    <row r="326" spans="1:1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2"/>
      <c r="M326" s="3"/>
      <c r="N326" s="3"/>
    </row>
    <row r="327" spans="1:1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12"/>
      <c r="M327" s="3"/>
      <c r="N327" s="3"/>
    </row>
    <row r="328" spans="1:1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12"/>
      <c r="M328" s="3"/>
      <c r="N328" s="3"/>
    </row>
    <row r="329" spans="1:1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2"/>
      <c r="M329" s="3"/>
      <c r="N329" s="3"/>
    </row>
    <row r="330" spans="1:1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12"/>
      <c r="M330" s="3"/>
      <c r="N330" s="3"/>
    </row>
    <row r="331" spans="1:1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2"/>
      <c r="M331" s="3"/>
      <c r="N331" s="3"/>
    </row>
    <row r="332" spans="1:1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2"/>
      <c r="M332" s="3"/>
      <c r="N332" s="3"/>
    </row>
    <row r="333" spans="1:1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2"/>
      <c r="M333" s="3"/>
      <c r="N333" s="3"/>
    </row>
    <row r="334" spans="1:1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2"/>
      <c r="M334" s="3"/>
      <c r="N334" s="3"/>
    </row>
    <row r="335" spans="1:1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12"/>
      <c r="M335" s="3"/>
      <c r="N335" s="3"/>
    </row>
    <row r="336" spans="1:1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2"/>
      <c r="M336" s="3"/>
      <c r="N336" s="3"/>
    </row>
    <row r="337" spans="1:1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2"/>
      <c r="M337" s="3"/>
      <c r="N337" s="3"/>
    </row>
    <row r="338" spans="1:1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2"/>
      <c r="M338" s="3"/>
      <c r="N338" s="3"/>
    </row>
    <row r="339" spans="1:1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12"/>
      <c r="M339" s="3"/>
      <c r="N339" s="3"/>
    </row>
    <row r="340" spans="1:1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2"/>
      <c r="M340" s="3"/>
      <c r="N340" s="3"/>
    </row>
    <row r="341" spans="1:1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2"/>
      <c r="M341" s="3"/>
      <c r="N341" s="3"/>
    </row>
    <row r="342" spans="1:1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2"/>
      <c r="M342" s="3"/>
      <c r="N342" s="3"/>
    </row>
    <row r="343" spans="1:1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12"/>
      <c r="M343" s="3"/>
      <c r="N343" s="3"/>
    </row>
    <row r="344" spans="1:1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12"/>
      <c r="M344" s="3"/>
      <c r="N344" s="3"/>
    </row>
    <row r="345" spans="1:1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2"/>
      <c r="M345" s="3"/>
      <c r="N345" s="3"/>
    </row>
    <row r="346" spans="1:1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2"/>
      <c r="M346" s="3"/>
      <c r="N346" s="3"/>
    </row>
    <row r="347" spans="1:1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2"/>
      <c r="M347" s="3"/>
      <c r="N347" s="3"/>
    </row>
    <row r="348" spans="1:1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2"/>
      <c r="M348" s="3"/>
      <c r="N348" s="3"/>
    </row>
    <row r="349" spans="1:1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2"/>
      <c r="M349" s="3"/>
      <c r="N349" s="3"/>
    </row>
    <row r="350" spans="1:1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2"/>
      <c r="M350" s="3"/>
      <c r="N350" s="3"/>
    </row>
    <row r="351" spans="1:1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12"/>
      <c r="M351" s="3"/>
      <c r="N351" s="3"/>
    </row>
    <row r="352" spans="1:1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2"/>
      <c r="M352" s="3"/>
      <c r="N352" s="3"/>
    </row>
    <row r="353" spans="1:1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2"/>
      <c r="M353" s="3"/>
      <c r="N353" s="3"/>
    </row>
    <row r="354" spans="1:1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2"/>
      <c r="M354" s="3"/>
      <c r="N354" s="3"/>
    </row>
    <row r="355" spans="1:1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2"/>
      <c r="M355" s="3"/>
      <c r="N355" s="3"/>
    </row>
    <row r="356" spans="1:1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2"/>
      <c r="M356" s="3"/>
      <c r="N356" s="3"/>
    </row>
    <row r="357" spans="1:1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2"/>
      <c r="M357" s="3"/>
      <c r="N357" s="3"/>
    </row>
    <row r="358" spans="1:1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2"/>
      <c r="M358" s="3"/>
      <c r="N358" s="3"/>
    </row>
    <row r="359" spans="1:1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2"/>
      <c r="M359" s="3"/>
      <c r="N359" s="3"/>
    </row>
    <row r="360" spans="1:1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2"/>
      <c r="M360" s="3"/>
      <c r="N360" s="3"/>
    </row>
    <row r="361" spans="1:1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2"/>
      <c r="M361" s="3"/>
      <c r="N361" s="3"/>
    </row>
    <row r="362" spans="1:1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2"/>
      <c r="M362" s="3"/>
      <c r="N362" s="3"/>
    </row>
    <row r="363" spans="1:1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2"/>
      <c r="M363" s="3"/>
      <c r="N363" s="3"/>
    </row>
    <row r="364" spans="1:1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2"/>
      <c r="M364" s="3"/>
      <c r="N364" s="3"/>
    </row>
    <row r="365" spans="1:1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2"/>
      <c r="M365" s="3"/>
      <c r="N365" s="3"/>
    </row>
    <row r="366" spans="1:1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2"/>
      <c r="M366" s="3"/>
      <c r="N366" s="3"/>
    </row>
    <row r="367" spans="1:1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2"/>
      <c r="M367" s="3"/>
      <c r="N367" s="3"/>
    </row>
    <row r="368" spans="1:1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12"/>
      <c r="M368" s="3"/>
      <c r="N368" s="3"/>
    </row>
    <row r="369" spans="1:1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2"/>
      <c r="M369" s="3"/>
      <c r="N369" s="3"/>
    </row>
    <row r="370" spans="1:1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2"/>
      <c r="M370" s="3"/>
      <c r="N370" s="3"/>
    </row>
    <row r="371" spans="1:1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2"/>
      <c r="M371" s="3"/>
      <c r="N371" s="3"/>
    </row>
    <row r="372" spans="1:1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12"/>
      <c r="M372" s="3"/>
      <c r="N372" s="3"/>
    </row>
    <row r="373" spans="1:1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2"/>
      <c r="M373" s="3"/>
      <c r="N373" s="3"/>
    </row>
    <row r="374" spans="1:1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2"/>
      <c r="M374" s="3"/>
      <c r="N374" s="3"/>
    </row>
    <row r="375" spans="1:1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2"/>
      <c r="M375" s="3"/>
      <c r="N375" s="3"/>
    </row>
    <row r="376" spans="1:1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2"/>
      <c r="M376" s="3"/>
      <c r="N376" s="3"/>
    </row>
    <row r="377" spans="1:1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2"/>
      <c r="M377" s="3"/>
      <c r="N377" s="3"/>
    </row>
    <row r="378" spans="1:1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2"/>
      <c r="M378" s="3"/>
      <c r="N378" s="3"/>
    </row>
    <row r="379" spans="1:1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2"/>
      <c r="M379" s="3"/>
      <c r="N379" s="3"/>
    </row>
    <row r="380" spans="1:1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2"/>
      <c r="M380" s="3"/>
      <c r="N380" s="3"/>
    </row>
    <row r="381" spans="1:1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2"/>
      <c r="M381" s="3"/>
      <c r="N381" s="3"/>
    </row>
    <row r="382" spans="1:1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2"/>
      <c r="M382" s="3"/>
      <c r="N382" s="3"/>
    </row>
    <row r="383" spans="1:1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2"/>
      <c r="M383" s="3"/>
      <c r="N383" s="3"/>
    </row>
    <row r="384" spans="1:1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2"/>
      <c r="M384" s="3"/>
      <c r="N384" s="3"/>
    </row>
    <row r="385" spans="1:1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2"/>
      <c r="M385" s="3"/>
      <c r="N385" s="3"/>
    </row>
    <row r="386" spans="1:1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2"/>
      <c r="M386" s="3"/>
      <c r="N386" s="3"/>
    </row>
    <row r="387" spans="1:1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2"/>
      <c r="M387" s="3"/>
      <c r="N387" s="3"/>
    </row>
    <row r="388" spans="1:1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2"/>
      <c r="M388" s="3"/>
      <c r="N388" s="3"/>
    </row>
    <row r="389" spans="1:1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2"/>
      <c r="M389" s="3"/>
      <c r="N389" s="3"/>
    </row>
    <row r="390" spans="1:1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2"/>
      <c r="M390" s="3"/>
      <c r="N390" s="3"/>
    </row>
    <row r="391" spans="1:1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2"/>
      <c r="M391" s="3"/>
      <c r="N391" s="3"/>
    </row>
    <row r="392" spans="1:1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2"/>
      <c r="M392" s="3"/>
      <c r="N392" s="3"/>
    </row>
    <row r="393" spans="1:1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2"/>
      <c r="M393" s="3"/>
      <c r="N393" s="3"/>
    </row>
    <row r="394" spans="1:1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2"/>
      <c r="M394" s="3"/>
      <c r="N394" s="3"/>
    </row>
    <row r="395" spans="1:1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2"/>
      <c r="M395" s="3"/>
      <c r="N395" s="3"/>
    </row>
    <row r="396" spans="1:1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2"/>
      <c r="M396" s="3"/>
      <c r="N396" s="3"/>
    </row>
    <row r="397" spans="1:1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12"/>
      <c r="M397" s="3"/>
      <c r="N397" s="3"/>
    </row>
    <row r="398" spans="1:1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2"/>
      <c r="M398" s="3"/>
      <c r="N398" s="3"/>
    </row>
    <row r="399" spans="1: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2"/>
      <c r="M399" s="3"/>
      <c r="N399" s="3"/>
    </row>
    <row r="400" spans="1:1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2"/>
      <c r="M400" s="3"/>
      <c r="N400" s="3"/>
    </row>
    <row r="401" spans="1:1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2"/>
      <c r="M401" s="3"/>
      <c r="N401" s="3"/>
    </row>
    <row r="402" spans="1:1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2"/>
      <c r="M402" s="3"/>
      <c r="N402" s="3"/>
    </row>
    <row r="403" spans="1:1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2"/>
      <c r="M403" s="3"/>
      <c r="N403" s="3"/>
    </row>
    <row r="404" spans="1:1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2"/>
      <c r="M404" s="3"/>
      <c r="N404" s="3"/>
    </row>
    <row r="405" spans="1:1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2"/>
      <c r="M405" s="3"/>
      <c r="N405" s="3"/>
    </row>
    <row r="406" spans="1:1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2"/>
      <c r="M406" s="3"/>
      <c r="N406" s="3"/>
    </row>
    <row r="407" spans="1:1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2"/>
      <c r="M407" s="3"/>
      <c r="N407" s="3"/>
    </row>
    <row r="408" spans="1:1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2"/>
      <c r="M408" s="3"/>
      <c r="N408" s="3"/>
    </row>
    <row r="409" spans="1:1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2"/>
      <c r="M409" s="3"/>
      <c r="N409" s="3"/>
    </row>
    <row r="410" spans="1:1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2"/>
      <c r="M410" s="3"/>
      <c r="N410" s="3"/>
    </row>
    <row r="411" spans="1:1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2"/>
      <c r="M411" s="3"/>
      <c r="N411" s="3"/>
    </row>
    <row r="412" spans="1:1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2"/>
      <c r="M412" s="3"/>
      <c r="N412" s="3"/>
    </row>
    <row r="413" spans="1:1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2"/>
      <c r="M413" s="3"/>
      <c r="N413" s="3"/>
    </row>
    <row r="414" spans="1: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2"/>
      <c r="M414" s="3"/>
      <c r="N414" s="3"/>
    </row>
    <row r="415" spans="1:1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2"/>
      <c r="M415" s="3"/>
      <c r="N415" s="3"/>
    </row>
    <row r="416" spans="1:1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2"/>
      <c r="M416" s="3"/>
      <c r="N416" s="3"/>
    </row>
    <row r="417" spans="1:1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2"/>
      <c r="M417" s="3"/>
      <c r="N417" s="3"/>
    </row>
    <row r="418" spans="1:1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2"/>
      <c r="M418" s="3"/>
      <c r="N418" s="3"/>
    </row>
    <row r="419" spans="1:1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2"/>
      <c r="M419" s="3"/>
      <c r="N419" s="3"/>
    </row>
    <row r="420" spans="1:1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12"/>
      <c r="M420" s="3"/>
      <c r="N420" s="3"/>
    </row>
    <row r="421" spans="1:1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2"/>
      <c r="M421" s="3"/>
      <c r="N421" s="3"/>
    </row>
    <row r="422" spans="1:1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2"/>
      <c r="M422" s="3"/>
      <c r="N422" s="3"/>
    </row>
    <row r="423" spans="1:1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2"/>
      <c r="M423" s="3"/>
      <c r="N423" s="3"/>
    </row>
    <row r="424" spans="1:1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2"/>
      <c r="M424" s="3"/>
      <c r="N424" s="3"/>
    </row>
    <row r="425" spans="1:1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2"/>
      <c r="M425" s="3"/>
      <c r="N425" s="3"/>
    </row>
    <row r="426" spans="1:1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2"/>
      <c r="M426" s="3"/>
      <c r="N426" s="3"/>
    </row>
    <row r="427" spans="1:1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2"/>
      <c r="M427" s="3"/>
      <c r="N427" s="3"/>
    </row>
    <row r="428" spans="1:1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2"/>
      <c r="M428" s="3"/>
      <c r="N428" s="3"/>
    </row>
    <row r="429" spans="1:1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2"/>
      <c r="M429" s="3"/>
      <c r="N429" s="3"/>
    </row>
    <row r="430" spans="1:1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2"/>
      <c r="M430" s="3"/>
      <c r="N430" s="3"/>
    </row>
    <row r="431" spans="1:1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2"/>
      <c r="M431" s="3"/>
      <c r="N431" s="3"/>
    </row>
    <row r="432" spans="1:1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2"/>
      <c r="M432" s="3"/>
      <c r="N432" s="3"/>
    </row>
    <row r="433" spans="1:1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2"/>
      <c r="M433" s="3"/>
      <c r="N433" s="3"/>
    </row>
    <row r="434" spans="1:1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2"/>
      <c r="M434" s="3"/>
      <c r="N434" s="3"/>
    </row>
    <row r="435" spans="1:1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2"/>
      <c r="M435" s="3"/>
      <c r="N435" s="3"/>
    </row>
    <row r="436" spans="1:1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2"/>
      <c r="M436" s="3"/>
      <c r="N436" s="3"/>
    </row>
    <row r="437" spans="1:1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2"/>
      <c r="M437" s="3"/>
      <c r="N437" s="3"/>
    </row>
    <row r="438" spans="1:1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2"/>
      <c r="M438" s="3"/>
      <c r="N438" s="3"/>
    </row>
    <row r="439" spans="1:1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2"/>
      <c r="M439" s="3"/>
      <c r="N439" s="3"/>
    </row>
    <row r="440" spans="1:1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12"/>
      <c r="M440" s="3"/>
      <c r="N440" s="3"/>
    </row>
    <row r="441" spans="1:1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2"/>
      <c r="M441" s="3"/>
      <c r="N441" s="3"/>
    </row>
    <row r="442" spans="1:1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2"/>
      <c r="M442" s="3"/>
      <c r="N442" s="3"/>
    </row>
    <row r="443" spans="1:1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2"/>
      <c r="M443" s="3"/>
      <c r="N443" s="3"/>
    </row>
    <row r="444" spans="1:1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2"/>
      <c r="M444" s="3"/>
      <c r="N444" s="3"/>
    </row>
    <row r="445" spans="1:1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2"/>
      <c r="M445" s="3"/>
      <c r="N445" s="3"/>
    </row>
    <row r="446" spans="1:1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2"/>
      <c r="M446" s="3"/>
      <c r="N446" s="3"/>
    </row>
    <row r="447" spans="1:1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12"/>
      <c r="M447" s="3"/>
      <c r="N447" s="3"/>
    </row>
    <row r="448" spans="1:1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12"/>
      <c r="M448" s="3"/>
      <c r="N448" s="3"/>
    </row>
    <row r="449" spans="1:1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2"/>
      <c r="M449" s="3"/>
      <c r="N449" s="3"/>
    </row>
    <row r="450" spans="1:1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2"/>
      <c r="M450" s="3"/>
      <c r="N450" s="3"/>
    </row>
    <row r="451" spans="1:1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2"/>
      <c r="M451" s="3"/>
      <c r="N451" s="3"/>
    </row>
    <row r="452" spans="1:1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2"/>
      <c r="M452" s="3"/>
      <c r="N452" s="3"/>
    </row>
    <row r="453" spans="1:1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2"/>
      <c r="M453" s="3"/>
      <c r="N453" s="3"/>
    </row>
    <row r="454" spans="1:1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2"/>
      <c r="M454" s="3"/>
      <c r="N454" s="3"/>
    </row>
    <row r="455" spans="1:1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12"/>
      <c r="M455" s="3"/>
      <c r="N455" s="3"/>
    </row>
    <row r="456" spans="1:1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2"/>
      <c r="M456" s="3"/>
      <c r="N456" s="3"/>
    </row>
    <row r="457" spans="1:1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2"/>
      <c r="M457" s="3"/>
      <c r="N457" s="3"/>
    </row>
    <row r="458" spans="1:1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2"/>
      <c r="M458" s="3"/>
      <c r="N458" s="3"/>
    </row>
    <row r="459" spans="1:1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12"/>
      <c r="M459" s="3"/>
      <c r="N459" s="3"/>
    </row>
    <row r="460" spans="1:1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2"/>
      <c r="M460" s="3"/>
      <c r="N460" s="3"/>
    </row>
    <row r="461" spans="1:1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2"/>
      <c r="M461" s="3"/>
      <c r="N461" s="3"/>
    </row>
    <row r="462" spans="1:1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2"/>
      <c r="M462" s="3"/>
      <c r="N462" s="3"/>
    </row>
    <row r="463" spans="1:1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2"/>
      <c r="M463" s="3"/>
      <c r="N463" s="3"/>
    </row>
    <row r="464" spans="1:1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12"/>
      <c r="M464" s="3"/>
      <c r="N464" s="3"/>
    </row>
    <row r="465" spans="1:1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12"/>
      <c r="M465" s="3"/>
      <c r="N465" s="3"/>
    </row>
    <row r="466" spans="1:1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2"/>
      <c r="M466" s="3"/>
      <c r="N466" s="3"/>
    </row>
    <row r="467" spans="1:1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2"/>
      <c r="M467" s="3"/>
      <c r="N467" s="3"/>
    </row>
    <row r="468" spans="1:1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2"/>
      <c r="M468" s="3"/>
      <c r="N468" s="3"/>
    </row>
    <row r="469" spans="1:1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2"/>
      <c r="M469" s="3"/>
      <c r="N469" s="3"/>
    </row>
    <row r="470" spans="1:1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2"/>
      <c r="M470" s="3"/>
      <c r="N470" s="3"/>
    </row>
    <row r="471" spans="1:1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2"/>
      <c r="M471" s="3"/>
      <c r="N471" s="3"/>
    </row>
    <row r="472" spans="1:1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2"/>
      <c r="M472" s="3"/>
      <c r="N472" s="3"/>
    </row>
    <row r="473" spans="1:1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12"/>
      <c r="M473" s="3"/>
      <c r="N473" s="3"/>
    </row>
    <row r="474" spans="1:1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2"/>
      <c r="M474" s="3"/>
      <c r="N474" s="3"/>
    </row>
    <row r="475" spans="1:1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2"/>
      <c r="M475" s="3"/>
      <c r="N475" s="3"/>
    </row>
    <row r="476" spans="1:1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2"/>
      <c r="M476" s="3"/>
      <c r="N476" s="3"/>
    </row>
    <row r="477" spans="1:1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2"/>
      <c r="M477" s="3"/>
      <c r="N477" s="3"/>
    </row>
    <row r="478" spans="1:1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2"/>
      <c r="M478" s="3"/>
      <c r="N478" s="3"/>
    </row>
    <row r="479" spans="1:1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2"/>
      <c r="M479" s="3"/>
      <c r="N479" s="3"/>
    </row>
    <row r="480" spans="1:1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2"/>
      <c r="M480" s="3"/>
      <c r="N480" s="3"/>
    </row>
    <row r="481" spans="1:1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2"/>
      <c r="M481" s="3"/>
      <c r="N481" s="3"/>
    </row>
    <row r="482" spans="1:1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2"/>
      <c r="M482" s="3"/>
      <c r="N482" s="3"/>
    </row>
    <row r="483" spans="1:1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2"/>
      <c r="M483" s="3"/>
      <c r="N483" s="3"/>
    </row>
    <row r="484" spans="1:1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2"/>
      <c r="M484" s="3"/>
      <c r="N484" s="3"/>
    </row>
    <row r="485" spans="1:1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2"/>
      <c r="M485" s="3"/>
      <c r="N485" s="3"/>
    </row>
    <row r="486" spans="1:1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2"/>
      <c r="M486" s="3"/>
      <c r="N486" s="3"/>
    </row>
    <row r="487" spans="1:1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2"/>
      <c r="M487" s="3"/>
      <c r="N487" s="3"/>
    </row>
    <row r="488" spans="1:1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2"/>
      <c r="M488" s="3"/>
      <c r="N488" s="3"/>
    </row>
    <row r="489" spans="1:1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2"/>
      <c r="M489" s="3"/>
      <c r="N489" s="3"/>
    </row>
    <row r="490" spans="1:1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2"/>
      <c r="M490" s="3"/>
      <c r="N490" s="3"/>
    </row>
    <row r="491" spans="1:1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2"/>
      <c r="M491" s="3"/>
      <c r="N491" s="3"/>
    </row>
    <row r="492" spans="1:1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2"/>
      <c r="M492" s="3"/>
      <c r="N492" s="3"/>
    </row>
    <row r="493" spans="1:1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2"/>
      <c r="M493" s="3"/>
      <c r="N493" s="3"/>
    </row>
    <row r="494" spans="1:1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12"/>
      <c r="M494" s="3"/>
      <c r="N494" s="3"/>
    </row>
    <row r="495" spans="1:1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12"/>
      <c r="M495" s="3"/>
      <c r="N495" s="3"/>
    </row>
    <row r="496" spans="1:1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12"/>
      <c r="M496" s="3"/>
      <c r="N496" s="3"/>
    </row>
    <row r="497" spans="1:1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2"/>
      <c r="M497" s="3"/>
      <c r="N497" s="3"/>
    </row>
    <row r="498" spans="1:1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2"/>
      <c r="M498" s="3"/>
      <c r="N498" s="3"/>
    </row>
    <row r="499" spans="1:1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12"/>
      <c r="M499" s="3"/>
      <c r="N499" s="3"/>
    </row>
    <row r="500" spans="1:1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2"/>
      <c r="M500" s="3"/>
      <c r="N500" s="3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00"/>
  <sheetViews>
    <sheetView workbookViewId="0"/>
  </sheetViews>
  <sheetFormatPr defaultRowHeight="14"/>
  <cols>
    <col min="1" max="1" width="18" customWidth="1"/>
    <col min="2" max="3" width="12" customWidth="1"/>
    <col min="4" max="4" width="30" customWidth="1"/>
    <col min="5" max="5" width="16" customWidth="1"/>
    <col min="6" max="6" width="20" customWidth="1"/>
    <col min="7" max="9" width="14" customWidth="1"/>
    <col min="10" max="10" width="16" customWidth="1"/>
    <col min="11" max="11" width="20" customWidth="1"/>
    <col min="12" max="12" width="22" customWidth="1"/>
    <col min="13" max="13" width="34" customWidth="1"/>
    <col min="14" max="14" width="42" customWidth="1"/>
    <col min="15" max="15" width="26" customWidth="1"/>
    <col min="16" max="17" width="18" customWidth="1"/>
    <col min="18" max="18" width="16" customWidth="1"/>
  </cols>
  <sheetData>
    <row r="1" spans="1:18" ht="19">
      <c r="A1" s="15" t="s">
        <v>904</v>
      </c>
      <c r="B1" s="15" t="s">
        <v>904</v>
      </c>
      <c r="C1" s="15" t="s">
        <v>904</v>
      </c>
      <c r="D1" s="15" t="s">
        <v>904</v>
      </c>
      <c r="E1" s="15" t="s">
        <v>904</v>
      </c>
      <c r="F1" s="15" t="s">
        <v>904</v>
      </c>
      <c r="G1" s="15" t="s">
        <v>904</v>
      </c>
      <c r="H1" s="15" t="s">
        <v>904</v>
      </c>
      <c r="I1" s="15" t="s">
        <v>904</v>
      </c>
      <c r="J1" s="15" t="s">
        <v>904</v>
      </c>
      <c r="K1" s="15" t="s">
        <v>904</v>
      </c>
      <c r="L1" s="15" t="s">
        <v>904</v>
      </c>
      <c r="M1" s="15" t="s">
        <v>904</v>
      </c>
      <c r="N1" s="15" t="s">
        <v>904</v>
      </c>
      <c r="O1" s="15" t="s">
        <v>904</v>
      </c>
      <c r="P1" s="15" t="s">
        <v>904</v>
      </c>
      <c r="Q1" s="15" t="s">
        <v>904</v>
      </c>
      <c r="R1" s="15" t="s">
        <v>904</v>
      </c>
    </row>
    <row r="2" spans="1:18">
      <c r="A2" s="11" t="s">
        <v>905</v>
      </c>
      <c r="B2" s="11" t="s">
        <v>906</v>
      </c>
      <c r="C2" s="11" t="s">
        <v>907</v>
      </c>
      <c r="D2" s="11" t="s">
        <v>908</v>
      </c>
      <c r="E2" s="11" t="s">
        <v>909</v>
      </c>
      <c r="F2" s="11" t="s">
        <v>910</v>
      </c>
      <c r="G2" s="11" t="s">
        <v>911</v>
      </c>
      <c r="H2" s="11" t="s">
        <v>912</v>
      </c>
      <c r="I2" s="11" t="s">
        <v>913</v>
      </c>
      <c r="J2" s="11" t="s">
        <v>870</v>
      </c>
      <c r="K2" s="11" t="s">
        <v>914</v>
      </c>
      <c r="L2" s="11" t="s">
        <v>915</v>
      </c>
      <c r="M2" s="11" t="s">
        <v>916</v>
      </c>
      <c r="N2" s="11" t="s">
        <v>917</v>
      </c>
      <c r="O2" s="11" t="s">
        <v>873</v>
      </c>
      <c r="P2" s="11" t="s">
        <v>874</v>
      </c>
      <c r="Q2" s="11" t="s">
        <v>875</v>
      </c>
      <c r="R2" s="11" t="s">
        <v>39</v>
      </c>
    </row>
    <row r="3" spans="1:18">
      <c r="A3" s="3"/>
      <c r="B3" s="3"/>
      <c r="C3" s="3"/>
      <c r="D3" s="3"/>
      <c r="E3" s="3"/>
      <c r="F3" s="3"/>
      <c r="G3" s="13" t="str">
        <f t="shared" ref="G3:G66" si="0">IF(E3="","",E3/5)</f>
        <v/>
      </c>
      <c r="H3" s="13" t="str">
        <f t="shared" ref="H3:H66" si="1">IF(E3="","",E3/6)</f>
        <v/>
      </c>
      <c r="I3" s="13" t="str">
        <f t="shared" ref="I3:I66" si="2">IF(E3="","",E3/7)</f>
        <v/>
      </c>
      <c r="J3" s="3"/>
      <c r="K3" s="3"/>
      <c r="L3" s="3"/>
      <c r="M3" s="3"/>
      <c r="N3" s="3"/>
      <c r="O3" s="3"/>
      <c r="P3" s="12"/>
      <c r="Q3" s="3"/>
      <c r="R3" s="3"/>
    </row>
    <row r="4" spans="1:18">
      <c r="A4" s="3"/>
      <c r="B4" s="3"/>
      <c r="C4" s="3"/>
      <c r="D4" s="3"/>
      <c r="E4" s="3"/>
      <c r="F4" s="3"/>
      <c r="G4" s="13" t="str">
        <f t="shared" si="0"/>
        <v/>
      </c>
      <c r="H4" s="13" t="str">
        <f t="shared" si="1"/>
        <v/>
      </c>
      <c r="I4" s="13" t="str">
        <f t="shared" si="2"/>
        <v/>
      </c>
      <c r="J4" s="3"/>
      <c r="K4" s="3"/>
      <c r="L4" s="3"/>
      <c r="M4" s="3"/>
      <c r="N4" s="3"/>
      <c r="O4" s="3"/>
      <c r="P4" s="12"/>
      <c r="Q4" s="3"/>
      <c r="R4" s="3"/>
    </row>
    <row r="5" spans="1:18">
      <c r="A5" s="3"/>
      <c r="B5" s="3"/>
      <c r="C5" s="3"/>
      <c r="D5" s="3"/>
      <c r="E5" s="3"/>
      <c r="F5" s="3"/>
      <c r="G5" s="13" t="str">
        <f t="shared" si="0"/>
        <v/>
      </c>
      <c r="H5" s="13" t="str">
        <f t="shared" si="1"/>
        <v/>
      </c>
      <c r="I5" s="13" t="str">
        <f t="shared" si="2"/>
        <v/>
      </c>
      <c r="J5" s="3"/>
      <c r="K5" s="3"/>
      <c r="L5" s="3"/>
      <c r="M5" s="3"/>
      <c r="N5" s="3"/>
      <c r="O5" s="3"/>
      <c r="P5" s="12"/>
      <c r="Q5" s="3"/>
      <c r="R5" s="3"/>
    </row>
    <row r="6" spans="1:18">
      <c r="A6" s="3"/>
      <c r="B6" s="3"/>
      <c r="C6" s="3"/>
      <c r="D6" s="3"/>
      <c r="E6" s="3"/>
      <c r="F6" s="3"/>
      <c r="G6" s="13" t="str">
        <f t="shared" si="0"/>
        <v/>
      </c>
      <c r="H6" s="13" t="str">
        <f t="shared" si="1"/>
        <v/>
      </c>
      <c r="I6" s="13" t="str">
        <f t="shared" si="2"/>
        <v/>
      </c>
      <c r="J6" s="3"/>
      <c r="K6" s="3"/>
      <c r="L6" s="3"/>
      <c r="M6" s="3"/>
      <c r="N6" s="3"/>
      <c r="O6" s="3"/>
      <c r="P6" s="12"/>
      <c r="Q6" s="3"/>
      <c r="R6" s="3"/>
    </row>
    <row r="7" spans="1:18">
      <c r="A7" s="3"/>
      <c r="B7" s="3"/>
      <c r="C7" s="3"/>
      <c r="D7" s="3"/>
      <c r="E7" s="3"/>
      <c r="F7" s="3"/>
      <c r="G7" s="13" t="str">
        <f t="shared" si="0"/>
        <v/>
      </c>
      <c r="H7" s="13" t="str">
        <f t="shared" si="1"/>
        <v/>
      </c>
      <c r="I7" s="13" t="str">
        <f t="shared" si="2"/>
        <v/>
      </c>
      <c r="J7" s="3"/>
      <c r="K7" s="3"/>
      <c r="L7" s="3"/>
      <c r="M7" s="3"/>
      <c r="N7" s="3"/>
      <c r="O7" s="3"/>
      <c r="P7" s="12"/>
      <c r="Q7" s="3"/>
      <c r="R7" s="3"/>
    </row>
    <row r="8" spans="1:18">
      <c r="A8" s="3"/>
      <c r="B8" s="3"/>
      <c r="C8" s="3"/>
      <c r="D8" s="3"/>
      <c r="E8" s="3"/>
      <c r="F8" s="3"/>
      <c r="G8" s="13" t="str">
        <f t="shared" si="0"/>
        <v/>
      </c>
      <c r="H8" s="13" t="str">
        <f t="shared" si="1"/>
        <v/>
      </c>
      <c r="I8" s="13" t="str">
        <f t="shared" si="2"/>
        <v/>
      </c>
      <c r="J8" s="3"/>
      <c r="K8" s="3"/>
      <c r="L8" s="3"/>
      <c r="M8" s="3"/>
      <c r="N8" s="3"/>
      <c r="O8" s="3"/>
      <c r="P8" s="12"/>
      <c r="Q8" s="3"/>
      <c r="R8" s="3"/>
    </row>
    <row r="9" spans="1:18">
      <c r="A9" s="3"/>
      <c r="B9" s="3"/>
      <c r="C9" s="3"/>
      <c r="D9" s="3"/>
      <c r="E9" s="3"/>
      <c r="F9" s="3"/>
      <c r="G9" s="13" t="str">
        <f t="shared" si="0"/>
        <v/>
      </c>
      <c r="H9" s="13" t="str">
        <f t="shared" si="1"/>
        <v/>
      </c>
      <c r="I9" s="13" t="str">
        <f t="shared" si="2"/>
        <v/>
      </c>
      <c r="J9" s="3"/>
      <c r="K9" s="3"/>
      <c r="L9" s="3"/>
      <c r="M9" s="3"/>
      <c r="N9" s="3"/>
      <c r="O9" s="3"/>
      <c r="P9" s="12"/>
      <c r="Q9" s="3"/>
      <c r="R9" s="3"/>
    </row>
    <row r="10" spans="1:18">
      <c r="A10" s="3"/>
      <c r="B10" s="3"/>
      <c r="C10" s="3"/>
      <c r="D10" s="3"/>
      <c r="E10" s="3"/>
      <c r="F10" s="3"/>
      <c r="G10" s="13" t="str">
        <f t="shared" si="0"/>
        <v/>
      </c>
      <c r="H10" s="13" t="str">
        <f t="shared" si="1"/>
        <v/>
      </c>
      <c r="I10" s="13" t="str">
        <f t="shared" si="2"/>
        <v/>
      </c>
      <c r="J10" s="3"/>
      <c r="K10" s="3"/>
      <c r="L10" s="3"/>
      <c r="M10" s="3"/>
      <c r="N10" s="3"/>
      <c r="O10" s="3"/>
      <c r="P10" s="12"/>
      <c r="Q10" s="3"/>
      <c r="R10" s="3"/>
    </row>
    <row r="11" spans="1:18">
      <c r="A11" s="3"/>
      <c r="B11" s="3"/>
      <c r="C11" s="3"/>
      <c r="D11" s="3"/>
      <c r="E11" s="3"/>
      <c r="F11" s="3"/>
      <c r="G11" s="13" t="str">
        <f t="shared" si="0"/>
        <v/>
      </c>
      <c r="H11" s="13" t="str">
        <f t="shared" si="1"/>
        <v/>
      </c>
      <c r="I11" s="13" t="str">
        <f t="shared" si="2"/>
        <v/>
      </c>
      <c r="J11" s="3"/>
      <c r="K11" s="3"/>
      <c r="L11" s="3"/>
      <c r="M11" s="3"/>
      <c r="N11" s="3"/>
      <c r="O11" s="3"/>
      <c r="P11" s="12"/>
      <c r="Q11" s="3"/>
      <c r="R11" s="3"/>
    </row>
    <row r="12" spans="1:18">
      <c r="A12" s="3"/>
      <c r="B12" s="3"/>
      <c r="C12" s="3"/>
      <c r="D12" s="3"/>
      <c r="E12" s="3"/>
      <c r="F12" s="3"/>
      <c r="G12" s="13" t="str">
        <f t="shared" si="0"/>
        <v/>
      </c>
      <c r="H12" s="13" t="str">
        <f t="shared" si="1"/>
        <v/>
      </c>
      <c r="I12" s="13" t="str">
        <f t="shared" si="2"/>
        <v/>
      </c>
      <c r="J12" s="3"/>
      <c r="K12" s="3"/>
      <c r="L12" s="3"/>
      <c r="M12" s="3"/>
      <c r="N12" s="3"/>
      <c r="O12" s="3"/>
      <c r="P12" s="12"/>
      <c r="Q12" s="3"/>
      <c r="R12" s="3"/>
    </row>
    <row r="13" spans="1:18">
      <c r="A13" s="3"/>
      <c r="B13" s="3"/>
      <c r="C13" s="3"/>
      <c r="D13" s="3"/>
      <c r="E13" s="3"/>
      <c r="F13" s="3"/>
      <c r="G13" s="13" t="str">
        <f t="shared" si="0"/>
        <v/>
      </c>
      <c r="H13" s="13" t="str">
        <f t="shared" si="1"/>
        <v/>
      </c>
      <c r="I13" s="13" t="str">
        <f t="shared" si="2"/>
        <v/>
      </c>
      <c r="J13" s="3"/>
      <c r="K13" s="3"/>
      <c r="L13" s="3"/>
      <c r="M13" s="3"/>
      <c r="N13" s="3"/>
      <c r="O13" s="3"/>
      <c r="P13" s="12"/>
      <c r="Q13" s="3"/>
      <c r="R13" s="3"/>
    </row>
    <row r="14" spans="1:18">
      <c r="A14" s="3"/>
      <c r="B14" s="3"/>
      <c r="C14" s="3"/>
      <c r="D14" s="3"/>
      <c r="E14" s="3"/>
      <c r="F14" s="3"/>
      <c r="G14" s="13" t="str">
        <f t="shared" si="0"/>
        <v/>
      </c>
      <c r="H14" s="13" t="str">
        <f t="shared" si="1"/>
        <v/>
      </c>
      <c r="I14" s="13" t="str">
        <f t="shared" si="2"/>
        <v/>
      </c>
      <c r="J14" s="3"/>
      <c r="K14" s="3"/>
      <c r="L14" s="3"/>
      <c r="M14" s="3"/>
      <c r="N14" s="3"/>
      <c r="O14" s="3"/>
      <c r="P14" s="12"/>
      <c r="Q14" s="3"/>
      <c r="R14" s="3"/>
    </row>
    <row r="15" spans="1:18">
      <c r="A15" s="3"/>
      <c r="B15" s="3"/>
      <c r="C15" s="3"/>
      <c r="D15" s="3"/>
      <c r="E15" s="3"/>
      <c r="F15" s="3"/>
      <c r="G15" s="13" t="str">
        <f t="shared" si="0"/>
        <v/>
      </c>
      <c r="H15" s="13" t="str">
        <f t="shared" si="1"/>
        <v/>
      </c>
      <c r="I15" s="13" t="str">
        <f t="shared" si="2"/>
        <v/>
      </c>
      <c r="J15" s="3"/>
      <c r="K15" s="3"/>
      <c r="L15" s="3"/>
      <c r="M15" s="3"/>
      <c r="N15" s="3"/>
      <c r="O15" s="3"/>
      <c r="P15" s="12"/>
      <c r="Q15" s="3"/>
      <c r="R15" s="3"/>
    </row>
    <row r="16" spans="1:18">
      <c r="A16" s="3"/>
      <c r="B16" s="3"/>
      <c r="C16" s="3"/>
      <c r="D16" s="3"/>
      <c r="E16" s="3"/>
      <c r="F16" s="3"/>
      <c r="G16" s="13" t="str">
        <f t="shared" si="0"/>
        <v/>
      </c>
      <c r="H16" s="13" t="str">
        <f t="shared" si="1"/>
        <v/>
      </c>
      <c r="I16" s="13" t="str">
        <f t="shared" si="2"/>
        <v/>
      </c>
      <c r="J16" s="3"/>
      <c r="K16" s="3"/>
      <c r="L16" s="3"/>
      <c r="M16" s="3"/>
      <c r="N16" s="3"/>
      <c r="O16" s="3"/>
      <c r="P16" s="12"/>
      <c r="Q16" s="3"/>
      <c r="R16" s="3"/>
    </row>
    <row r="17" spans="1:18">
      <c r="A17" s="3"/>
      <c r="B17" s="3"/>
      <c r="C17" s="3"/>
      <c r="D17" s="3"/>
      <c r="E17" s="3"/>
      <c r="F17" s="3"/>
      <c r="G17" s="13" t="str">
        <f t="shared" si="0"/>
        <v/>
      </c>
      <c r="H17" s="13" t="str">
        <f t="shared" si="1"/>
        <v/>
      </c>
      <c r="I17" s="13" t="str">
        <f t="shared" si="2"/>
        <v/>
      </c>
      <c r="J17" s="3"/>
      <c r="K17" s="3"/>
      <c r="L17" s="3"/>
      <c r="M17" s="3"/>
      <c r="N17" s="3"/>
      <c r="O17" s="3"/>
      <c r="P17" s="12"/>
      <c r="Q17" s="3"/>
      <c r="R17" s="3"/>
    </row>
    <row r="18" spans="1:18">
      <c r="A18" s="3"/>
      <c r="B18" s="3"/>
      <c r="C18" s="3"/>
      <c r="D18" s="3"/>
      <c r="E18" s="3"/>
      <c r="F18" s="3"/>
      <c r="G18" s="13" t="str">
        <f t="shared" si="0"/>
        <v/>
      </c>
      <c r="H18" s="13" t="str">
        <f t="shared" si="1"/>
        <v/>
      </c>
      <c r="I18" s="13" t="str">
        <f t="shared" si="2"/>
        <v/>
      </c>
      <c r="J18" s="3"/>
      <c r="K18" s="3"/>
      <c r="L18" s="3"/>
      <c r="M18" s="3"/>
      <c r="N18" s="3"/>
      <c r="O18" s="3"/>
      <c r="P18" s="12"/>
      <c r="Q18" s="3"/>
      <c r="R18" s="3"/>
    </row>
    <row r="19" spans="1:18">
      <c r="A19" s="3"/>
      <c r="B19" s="3"/>
      <c r="C19" s="3"/>
      <c r="D19" s="3"/>
      <c r="E19" s="3"/>
      <c r="F19" s="3"/>
      <c r="G19" s="13" t="str">
        <f t="shared" si="0"/>
        <v/>
      </c>
      <c r="H19" s="13" t="str">
        <f t="shared" si="1"/>
        <v/>
      </c>
      <c r="I19" s="13" t="str">
        <f t="shared" si="2"/>
        <v/>
      </c>
      <c r="J19" s="3"/>
      <c r="K19" s="3"/>
      <c r="L19" s="3"/>
      <c r="M19" s="3"/>
      <c r="N19" s="3"/>
      <c r="O19" s="3"/>
      <c r="P19" s="12"/>
      <c r="Q19" s="3"/>
      <c r="R19" s="3"/>
    </row>
    <row r="20" spans="1:18">
      <c r="A20" s="3"/>
      <c r="B20" s="3"/>
      <c r="C20" s="3"/>
      <c r="D20" s="3"/>
      <c r="E20" s="3"/>
      <c r="F20" s="3"/>
      <c r="G20" s="13" t="str">
        <f t="shared" si="0"/>
        <v/>
      </c>
      <c r="H20" s="13" t="str">
        <f t="shared" si="1"/>
        <v/>
      </c>
      <c r="I20" s="13" t="str">
        <f t="shared" si="2"/>
        <v/>
      </c>
      <c r="J20" s="3"/>
      <c r="K20" s="3"/>
      <c r="L20" s="3"/>
      <c r="M20" s="3"/>
      <c r="N20" s="3"/>
      <c r="O20" s="3"/>
      <c r="P20" s="12"/>
      <c r="Q20" s="3"/>
      <c r="R20" s="3"/>
    </row>
    <row r="21" spans="1:18">
      <c r="A21" s="3"/>
      <c r="B21" s="3"/>
      <c r="C21" s="3"/>
      <c r="D21" s="3"/>
      <c r="E21" s="3"/>
      <c r="F21" s="3"/>
      <c r="G21" s="13" t="str">
        <f t="shared" si="0"/>
        <v/>
      </c>
      <c r="H21" s="13" t="str">
        <f t="shared" si="1"/>
        <v/>
      </c>
      <c r="I21" s="13" t="str">
        <f t="shared" si="2"/>
        <v/>
      </c>
      <c r="J21" s="3"/>
      <c r="K21" s="3"/>
      <c r="L21" s="3"/>
      <c r="M21" s="3"/>
      <c r="N21" s="3"/>
      <c r="O21" s="3"/>
      <c r="P21" s="12"/>
      <c r="Q21" s="3"/>
      <c r="R21" s="3"/>
    </row>
    <row r="22" spans="1:18">
      <c r="A22" s="3"/>
      <c r="B22" s="3"/>
      <c r="C22" s="3"/>
      <c r="D22" s="3"/>
      <c r="E22" s="3"/>
      <c r="F22" s="3"/>
      <c r="G22" s="13" t="str">
        <f t="shared" si="0"/>
        <v/>
      </c>
      <c r="H22" s="13" t="str">
        <f t="shared" si="1"/>
        <v/>
      </c>
      <c r="I22" s="13" t="str">
        <f t="shared" si="2"/>
        <v/>
      </c>
      <c r="J22" s="3"/>
      <c r="K22" s="3"/>
      <c r="L22" s="3"/>
      <c r="M22" s="3"/>
      <c r="N22" s="3"/>
      <c r="O22" s="3"/>
      <c r="P22" s="12"/>
      <c r="Q22" s="3"/>
      <c r="R22" s="3"/>
    </row>
    <row r="23" spans="1:18">
      <c r="A23" s="3"/>
      <c r="B23" s="3"/>
      <c r="C23" s="3"/>
      <c r="D23" s="3"/>
      <c r="E23" s="3"/>
      <c r="F23" s="3"/>
      <c r="G23" s="13" t="str">
        <f t="shared" si="0"/>
        <v/>
      </c>
      <c r="H23" s="13" t="str">
        <f t="shared" si="1"/>
        <v/>
      </c>
      <c r="I23" s="13" t="str">
        <f t="shared" si="2"/>
        <v/>
      </c>
      <c r="J23" s="3"/>
      <c r="K23" s="3"/>
      <c r="L23" s="3"/>
      <c r="M23" s="3"/>
      <c r="N23" s="3"/>
      <c r="O23" s="3"/>
      <c r="P23" s="12"/>
      <c r="Q23" s="3"/>
      <c r="R23" s="3"/>
    </row>
    <row r="24" spans="1:18">
      <c r="A24" s="3"/>
      <c r="B24" s="3"/>
      <c r="C24" s="3"/>
      <c r="D24" s="3"/>
      <c r="E24" s="3"/>
      <c r="F24" s="3"/>
      <c r="G24" s="13" t="str">
        <f t="shared" si="0"/>
        <v/>
      </c>
      <c r="H24" s="13" t="str">
        <f t="shared" si="1"/>
        <v/>
      </c>
      <c r="I24" s="13" t="str">
        <f t="shared" si="2"/>
        <v/>
      </c>
      <c r="J24" s="3"/>
      <c r="K24" s="3"/>
      <c r="L24" s="3"/>
      <c r="M24" s="3"/>
      <c r="N24" s="3"/>
      <c r="O24" s="3"/>
      <c r="P24" s="12"/>
      <c r="Q24" s="3"/>
      <c r="R24" s="3"/>
    </row>
    <row r="25" spans="1:18">
      <c r="A25" s="3"/>
      <c r="B25" s="3"/>
      <c r="C25" s="3"/>
      <c r="D25" s="3"/>
      <c r="E25" s="3"/>
      <c r="F25" s="3"/>
      <c r="G25" s="13" t="str">
        <f t="shared" si="0"/>
        <v/>
      </c>
      <c r="H25" s="13" t="str">
        <f t="shared" si="1"/>
        <v/>
      </c>
      <c r="I25" s="13" t="str">
        <f t="shared" si="2"/>
        <v/>
      </c>
      <c r="J25" s="3"/>
      <c r="K25" s="3"/>
      <c r="L25" s="3"/>
      <c r="M25" s="3"/>
      <c r="N25" s="3"/>
      <c r="O25" s="3"/>
      <c r="P25" s="12"/>
      <c r="Q25" s="3"/>
      <c r="R25" s="3"/>
    </row>
    <row r="26" spans="1:18">
      <c r="A26" s="3"/>
      <c r="B26" s="3"/>
      <c r="C26" s="3"/>
      <c r="D26" s="3"/>
      <c r="E26" s="3"/>
      <c r="F26" s="3"/>
      <c r="G26" s="13" t="str">
        <f t="shared" si="0"/>
        <v/>
      </c>
      <c r="H26" s="13" t="str">
        <f t="shared" si="1"/>
        <v/>
      </c>
      <c r="I26" s="13" t="str">
        <f t="shared" si="2"/>
        <v/>
      </c>
      <c r="J26" s="3"/>
      <c r="K26" s="3"/>
      <c r="L26" s="3"/>
      <c r="M26" s="3"/>
      <c r="N26" s="3"/>
      <c r="O26" s="3"/>
      <c r="P26" s="12"/>
      <c r="Q26" s="3"/>
      <c r="R26" s="3"/>
    </row>
    <row r="27" spans="1:18">
      <c r="A27" s="3"/>
      <c r="B27" s="3"/>
      <c r="C27" s="3"/>
      <c r="D27" s="3"/>
      <c r="E27" s="3"/>
      <c r="F27" s="3"/>
      <c r="G27" s="13" t="str">
        <f t="shared" si="0"/>
        <v/>
      </c>
      <c r="H27" s="13" t="str">
        <f t="shared" si="1"/>
        <v/>
      </c>
      <c r="I27" s="13" t="str">
        <f t="shared" si="2"/>
        <v/>
      </c>
      <c r="J27" s="3"/>
      <c r="K27" s="3"/>
      <c r="L27" s="3"/>
      <c r="M27" s="3"/>
      <c r="N27" s="3"/>
      <c r="O27" s="3"/>
      <c r="P27" s="12"/>
      <c r="Q27" s="3"/>
      <c r="R27" s="3"/>
    </row>
    <row r="28" spans="1:18">
      <c r="A28" s="3"/>
      <c r="B28" s="3"/>
      <c r="C28" s="3"/>
      <c r="D28" s="3"/>
      <c r="E28" s="3"/>
      <c r="F28" s="3"/>
      <c r="G28" s="13" t="str">
        <f t="shared" si="0"/>
        <v/>
      </c>
      <c r="H28" s="13" t="str">
        <f t="shared" si="1"/>
        <v/>
      </c>
      <c r="I28" s="13" t="str">
        <f t="shared" si="2"/>
        <v/>
      </c>
      <c r="J28" s="3"/>
      <c r="K28" s="3"/>
      <c r="L28" s="3"/>
      <c r="M28" s="3"/>
      <c r="N28" s="3"/>
      <c r="O28" s="3"/>
      <c r="P28" s="12"/>
      <c r="Q28" s="3"/>
      <c r="R28" s="3"/>
    </row>
    <row r="29" spans="1:18">
      <c r="A29" s="3"/>
      <c r="B29" s="3"/>
      <c r="C29" s="3"/>
      <c r="D29" s="3"/>
      <c r="E29" s="3"/>
      <c r="F29" s="3"/>
      <c r="G29" s="13" t="str">
        <f t="shared" si="0"/>
        <v/>
      </c>
      <c r="H29" s="13" t="str">
        <f t="shared" si="1"/>
        <v/>
      </c>
      <c r="I29" s="13" t="str">
        <f t="shared" si="2"/>
        <v/>
      </c>
      <c r="J29" s="3"/>
      <c r="K29" s="3"/>
      <c r="L29" s="3"/>
      <c r="M29" s="3"/>
      <c r="N29" s="3"/>
      <c r="O29" s="3"/>
      <c r="P29" s="12"/>
      <c r="Q29" s="3"/>
      <c r="R29" s="3"/>
    </row>
    <row r="30" spans="1:18">
      <c r="A30" s="3"/>
      <c r="B30" s="3"/>
      <c r="C30" s="3"/>
      <c r="D30" s="3"/>
      <c r="E30" s="3"/>
      <c r="F30" s="3"/>
      <c r="G30" s="13" t="str">
        <f t="shared" si="0"/>
        <v/>
      </c>
      <c r="H30" s="13" t="str">
        <f t="shared" si="1"/>
        <v/>
      </c>
      <c r="I30" s="13" t="str">
        <f t="shared" si="2"/>
        <v/>
      </c>
      <c r="J30" s="3"/>
      <c r="K30" s="3"/>
      <c r="L30" s="3"/>
      <c r="M30" s="3"/>
      <c r="N30" s="3"/>
      <c r="O30" s="3"/>
      <c r="P30" s="12"/>
      <c r="Q30" s="3"/>
      <c r="R30" s="3"/>
    </row>
    <row r="31" spans="1:18">
      <c r="A31" s="3"/>
      <c r="B31" s="3"/>
      <c r="C31" s="3"/>
      <c r="D31" s="3"/>
      <c r="E31" s="3"/>
      <c r="F31" s="3"/>
      <c r="G31" s="13" t="str">
        <f t="shared" si="0"/>
        <v/>
      </c>
      <c r="H31" s="13" t="str">
        <f t="shared" si="1"/>
        <v/>
      </c>
      <c r="I31" s="13" t="str">
        <f t="shared" si="2"/>
        <v/>
      </c>
      <c r="J31" s="3"/>
      <c r="K31" s="3"/>
      <c r="L31" s="3"/>
      <c r="M31" s="3"/>
      <c r="N31" s="3"/>
      <c r="O31" s="3"/>
      <c r="P31" s="12"/>
      <c r="Q31" s="3"/>
      <c r="R31" s="3"/>
    </row>
    <row r="32" spans="1:18">
      <c r="A32" s="3"/>
      <c r="B32" s="3"/>
      <c r="C32" s="3"/>
      <c r="D32" s="3"/>
      <c r="E32" s="3"/>
      <c r="F32" s="3"/>
      <c r="G32" s="13" t="str">
        <f t="shared" si="0"/>
        <v/>
      </c>
      <c r="H32" s="13" t="str">
        <f t="shared" si="1"/>
        <v/>
      </c>
      <c r="I32" s="13" t="str">
        <f t="shared" si="2"/>
        <v/>
      </c>
      <c r="J32" s="3"/>
      <c r="K32" s="3"/>
      <c r="L32" s="3"/>
      <c r="M32" s="3"/>
      <c r="N32" s="3"/>
      <c r="O32" s="3"/>
      <c r="P32" s="12"/>
      <c r="Q32" s="3"/>
      <c r="R32" s="3"/>
    </row>
    <row r="33" spans="1:18">
      <c r="A33" s="3"/>
      <c r="B33" s="3"/>
      <c r="C33" s="3"/>
      <c r="D33" s="3"/>
      <c r="E33" s="3"/>
      <c r="F33" s="3"/>
      <c r="G33" s="13" t="str">
        <f t="shared" si="0"/>
        <v/>
      </c>
      <c r="H33" s="13" t="str">
        <f t="shared" si="1"/>
        <v/>
      </c>
      <c r="I33" s="13" t="str">
        <f t="shared" si="2"/>
        <v/>
      </c>
      <c r="J33" s="3"/>
      <c r="K33" s="3"/>
      <c r="L33" s="3"/>
      <c r="M33" s="3"/>
      <c r="N33" s="3"/>
      <c r="O33" s="3"/>
      <c r="P33" s="12"/>
      <c r="Q33" s="3"/>
      <c r="R33" s="3"/>
    </row>
    <row r="34" spans="1:18">
      <c r="A34" s="3"/>
      <c r="B34" s="3"/>
      <c r="C34" s="3"/>
      <c r="D34" s="3"/>
      <c r="E34" s="3"/>
      <c r="F34" s="3"/>
      <c r="G34" s="13" t="str">
        <f t="shared" si="0"/>
        <v/>
      </c>
      <c r="H34" s="13" t="str">
        <f t="shared" si="1"/>
        <v/>
      </c>
      <c r="I34" s="13" t="str">
        <f t="shared" si="2"/>
        <v/>
      </c>
      <c r="J34" s="3"/>
      <c r="K34" s="3"/>
      <c r="L34" s="3"/>
      <c r="M34" s="3"/>
      <c r="N34" s="3"/>
      <c r="O34" s="3"/>
      <c r="P34" s="12"/>
      <c r="Q34" s="3"/>
      <c r="R34" s="3"/>
    </row>
    <row r="35" spans="1:18">
      <c r="A35" s="3"/>
      <c r="B35" s="3"/>
      <c r="C35" s="3"/>
      <c r="D35" s="3"/>
      <c r="E35" s="3"/>
      <c r="F35" s="3"/>
      <c r="G35" s="13" t="str">
        <f t="shared" si="0"/>
        <v/>
      </c>
      <c r="H35" s="13" t="str">
        <f t="shared" si="1"/>
        <v/>
      </c>
      <c r="I35" s="13" t="str">
        <f t="shared" si="2"/>
        <v/>
      </c>
      <c r="J35" s="3"/>
      <c r="K35" s="3"/>
      <c r="L35" s="3"/>
      <c r="M35" s="3"/>
      <c r="N35" s="3"/>
      <c r="O35" s="3"/>
      <c r="P35" s="12"/>
      <c r="Q35" s="3"/>
      <c r="R35" s="3"/>
    </row>
    <row r="36" spans="1:18">
      <c r="A36" s="3"/>
      <c r="B36" s="3"/>
      <c r="C36" s="3"/>
      <c r="D36" s="3"/>
      <c r="E36" s="3"/>
      <c r="F36" s="3"/>
      <c r="G36" s="13" t="str">
        <f t="shared" si="0"/>
        <v/>
      </c>
      <c r="H36" s="13" t="str">
        <f t="shared" si="1"/>
        <v/>
      </c>
      <c r="I36" s="13" t="str">
        <f t="shared" si="2"/>
        <v/>
      </c>
      <c r="J36" s="3"/>
      <c r="K36" s="3"/>
      <c r="L36" s="3"/>
      <c r="M36" s="3"/>
      <c r="N36" s="3"/>
      <c r="O36" s="3"/>
      <c r="P36" s="12"/>
      <c r="Q36" s="3"/>
      <c r="R36" s="3"/>
    </row>
    <row r="37" spans="1:18">
      <c r="A37" s="3"/>
      <c r="B37" s="3"/>
      <c r="C37" s="3"/>
      <c r="D37" s="3"/>
      <c r="E37" s="3"/>
      <c r="F37" s="3"/>
      <c r="G37" s="13" t="str">
        <f t="shared" si="0"/>
        <v/>
      </c>
      <c r="H37" s="13" t="str">
        <f t="shared" si="1"/>
        <v/>
      </c>
      <c r="I37" s="13" t="str">
        <f t="shared" si="2"/>
        <v/>
      </c>
      <c r="J37" s="3"/>
      <c r="K37" s="3"/>
      <c r="L37" s="3"/>
      <c r="M37" s="3"/>
      <c r="N37" s="3"/>
      <c r="O37" s="3"/>
      <c r="P37" s="12"/>
      <c r="Q37" s="3"/>
      <c r="R37" s="3"/>
    </row>
    <row r="38" spans="1:18">
      <c r="A38" s="3"/>
      <c r="B38" s="3"/>
      <c r="C38" s="3"/>
      <c r="D38" s="3"/>
      <c r="E38" s="3"/>
      <c r="F38" s="3"/>
      <c r="G38" s="13" t="str">
        <f t="shared" si="0"/>
        <v/>
      </c>
      <c r="H38" s="13" t="str">
        <f t="shared" si="1"/>
        <v/>
      </c>
      <c r="I38" s="13" t="str">
        <f t="shared" si="2"/>
        <v/>
      </c>
      <c r="J38" s="3"/>
      <c r="K38" s="3"/>
      <c r="L38" s="3"/>
      <c r="M38" s="3"/>
      <c r="N38" s="3"/>
      <c r="O38" s="3"/>
      <c r="P38" s="12"/>
      <c r="Q38" s="3"/>
      <c r="R38" s="3"/>
    </row>
    <row r="39" spans="1:18">
      <c r="A39" s="3"/>
      <c r="B39" s="3"/>
      <c r="C39" s="3"/>
      <c r="D39" s="3"/>
      <c r="E39" s="3"/>
      <c r="F39" s="3"/>
      <c r="G39" s="13" t="str">
        <f t="shared" si="0"/>
        <v/>
      </c>
      <c r="H39" s="13" t="str">
        <f t="shared" si="1"/>
        <v/>
      </c>
      <c r="I39" s="13" t="str">
        <f t="shared" si="2"/>
        <v/>
      </c>
      <c r="J39" s="3"/>
      <c r="K39" s="3"/>
      <c r="L39" s="3"/>
      <c r="M39" s="3"/>
      <c r="N39" s="3"/>
      <c r="O39" s="3"/>
      <c r="P39" s="12"/>
      <c r="Q39" s="3"/>
      <c r="R39" s="3"/>
    </row>
    <row r="40" spans="1:18">
      <c r="A40" s="3"/>
      <c r="B40" s="3"/>
      <c r="C40" s="3"/>
      <c r="D40" s="3"/>
      <c r="E40" s="3"/>
      <c r="F40" s="3"/>
      <c r="G40" s="13" t="str">
        <f t="shared" si="0"/>
        <v/>
      </c>
      <c r="H40" s="13" t="str">
        <f t="shared" si="1"/>
        <v/>
      </c>
      <c r="I40" s="13" t="str">
        <f t="shared" si="2"/>
        <v/>
      </c>
      <c r="J40" s="3"/>
      <c r="K40" s="3"/>
      <c r="L40" s="3"/>
      <c r="M40" s="3"/>
      <c r="N40" s="3"/>
      <c r="O40" s="3"/>
      <c r="P40" s="12"/>
      <c r="Q40" s="3"/>
      <c r="R40" s="3"/>
    </row>
    <row r="41" spans="1:18">
      <c r="A41" s="3"/>
      <c r="B41" s="3"/>
      <c r="C41" s="3"/>
      <c r="D41" s="3"/>
      <c r="E41" s="3"/>
      <c r="F41" s="3"/>
      <c r="G41" s="13" t="str">
        <f t="shared" si="0"/>
        <v/>
      </c>
      <c r="H41" s="13" t="str">
        <f t="shared" si="1"/>
        <v/>
      </c>
      <c r="I41" s="13" t="str">
        <f t="shared" si="2"/>
        <v/>
      </c>
      <c r="J41" s="3"/>
      <c r="K41" s="3"/>
      <c r="L41" s="3"/>
      <c r="M41" s="3"/>
      <c r="N41" s="3"/>
      <c r="O41" s="3"/>
      <c r="P41" s="12"/>
      <c r="Q41" s="3"/>
      <c r="R41" s="3"/>
    </row>
    <row r="42" spans="1:18">
      <c r="A42" s="3"/>
      <c r="B42" s="3"/>
      <c r="C42" s="3"/>
      <c r="D42" s="3"/>
      <c r="E42" s="3"/>
      <c r="F42" s="3"/>
      <c r="G42" s="13" t="str">
        <f t="shared" si="0"/>
        <v/>
      </c>
      <c r="H42" s="13" t="str">
        <f t="shared" si="1"/>
        <v/>
      </c>
      <c r="I42" s="13" t="str">
        <f t="shared" si="2"/>
        <v/>
      </c>
      <c r="J42" s="3"/>
      <c r="K42" s="3"/>
      <c r="L42" s="3"/>
      <c r="M42" s="3"/>
      <c r="N42" s="3"/>
      <c r="O42" s="3"/>
      <c r="P42" s="12"/>
      <c r="Q42" s="3"/>
      <c r="R42" s="3"/>
    </row>
    <row r="43" spans="1:18">
      <c r="A43" s="3"/>
      <c r="B43" s="3"/>
      <c r="C43" s="3"/>
      <c r="D43" s="3"/>
      <c r="E43" s="3"/>
      <c r="F43" s="3"/>
      <c r="G43" s="13" t="str">
        <f t="shared" si="0"/>
        <v/>
      </c>
      <c r="H43" s="13" t="str">
        <f t="shared" si="1"/>
        <v/>
      </c>
      <c r="I43" s="13" t="str">
        <f t="shared" si="2"/>
        <v/>
      </c>
      <c r="J43" s="3"/>
      <c r="K43" s="3"/>
      <c r="L43" s="3"/>
      <c r="M43" s="3"/>
      <c r="N43" s="3"/>
      <c r="O43" s="3"/>
      <c r="P43" s="12"/>
      <c r="Q43" s="3"/>
      <c r="R43" s="3"/>
    </row>
    <row r="44" spans="1:18">
      <c r="A44" s="3"/>
      <c r="B44" s="3"/>
      <c r="C44" s="3"/>
      <c r="D44" s="3"/>
      <c r="E44" s="3"/>
      <c r="F44" s="3"/>
      <c r="G44" s="13" t="str">
        <f t="shared" si="0"/>
        <v/>
      </c>
      <c r="H44" s="13" t="str">
        <f t="shared" si="1"/>
        <v/>
      </c>
      <c r="I44" s="13" t="str">
        <f t="shared" si="2"/>
        <v/>
      </c>
      <c r="J44" s="3"/>
      <c r="K44" s="3"/>
      <c r="L44" s="3"/>
      <c r="M44" s="3"/>
      <c r="N44" s="3"/>
      <c r="O44" s="3"/>
      <c r="P44" s="12"/>
      <c r="Q44" s="3"/>
      <c r="R44" s="3"/>
    </row>
    <row r="45" spans="1:18">
      <c r="A45" s="3"/>
      <c r="B45" s="3"/>
      <c r="C45" s="3"/>
      <c r="D45" s="3"/>
      <c r="E45" s="3"/>
      <c r="F45" s="3"/>
      <c r="G45" s="13" t="str">
        <f t="shared" si="0"/>
        <v/>
      </c>
      <c r="H45" s="13" t="str">
        <f t="shared" si="1"/>
        <v/>
      </c>
      <c r="I45" s="13" t="str">
        <f t="shared" si="2"/>
        <v/>
      </c>
      <c r="J45" s="3"/>
      <c r="K45" s="3"/>
      <c r="L45" s="3"/>
      <c r="M45" s="3"/>
      <c r="N45" s="3"/>
      <c r="O45" s="3"/>
      <c r="P45" s="12"/>
      <c r="Q45" s="3"/>
      <c r="R45" s="3"/>
    </row>
    <row r="46" spans="1:18">
      <c r="A46" s="3"/>
      <c r="B46" s="3"/>
      <c r="C46" s="3"/>
      <c r="D46" s="3"/>
      <c r="E46" s="3"/>
      <c r="F46" s="3"/>
      <c r="G46" s="13" t="str">
        <f t="shared" si="0"/>
        <v/>
      </c>
      <c r="H46" s="13" t="str">
        <f t="shared" si="1"/>
        <v/>
      </c>
      <c r="I46" s="13" t="str">
        <f t="shared" si="2"/>
        <v/>
      </c>
      <c r="J46" s="3"/>
      <c r="K46" s="3"/>
      <c r="L46" s="3"/>
      <c r="M46" s="3"/>
      <c r="N46" s="3"/>
      <c r="O46" s="3"/>
      <c r="P46" s="12"/>
      <c r="Q46" s="3"/>
      <c r="R46" s="3"/>
    </row>
    <row r="47" spans="1:18">
      <c r="A47" s="3"/>
      <c r="B47" s="3"/>
      <c r="C47" s="3"/>
      <c r="D47" s="3"/>
      <c r="E47" s="3"/>
      <c r="F47" s="3"/>
      <c r="G47" s="13" t="str">
        <f t="shared" si="0"/>
        <v/>
      </c>
      <c r="H47" s="13" t="str">
        <f t="shared" si="1"/>
        <v/>
      </c>
      <c r="I47" s="13" t="str">
        <f t="shared" si="2"/>
        <v/>
      </c>
      <c r="J47" s="3"/>
      <c r="K47" s="3"/>
      <c r="L47" s="3"/>
      <c r="M47" s="3"/>
      <c r="N47" s="3"/>
      <c r="O47" s="3"/>
      <c r="P47" s="12"/>
      <c r="Q47" s="3"/>
      <c r="R47" s="3"/>
    </row>
    <row r="48" spans="1:18">
      <c r="A48" s="3"/>
      <c r="B48" s="3"/>
      <c r="C48" s="3"/>
      <c r="D48" s="3"/>
      <c r="E48" s="3"/>
      <c r="F48" s="3"/>
      <c r="G48" s="13" t="str">
        <f t="shared" si="0"/>
        <v/>
      </c>
      <c r="H48" s="13" t="str">
        <f t="shared" si="1"/>
        <v/>
      </c>
      <c r="I48" s="13" t="str">
        <f t="shared" si="2"/>
        <v/>
      </c>
      <c r="J48" s="3"/>
      <c r="K48" s="3"/>
      <c r="L48" s="3"/>
      <c r="M48" s="3"/>
      <c r="N48" s="3"/>
      <c r="O48" s="3"/>
      <c r="P48" s="12"/>
      <c r="Q48" s="3"/>
      <c r="R48" s="3"/>
    </row>
    <row r="49" spans="1:18">
      <c r="A49" s="3"/>
      <c r="B49" s="3"/>
      <c r="C49" s="3"/>
      <c r="D49" s="3"/>
      <c r="E49" s="3"/>
      <c r="F49" s="3"/>
      <c r="G49" s="13" t="str">
        <f t="shared" si="0"/>
        <v/>
      </c>
      <c r="H49" s="13" t="str">
        <f t="shared" si="1"/>
        <v/>
      </c>
      <c r="I49" s="13" t="str">
        <f t="shared" si="2"/>
        <v/>
      </c>
      <c r="J49" s="3"/>
      <c r="K49" s="3"/>
      <c r="L49" s="3"/>
      <c r="M49" s="3"/>
      <c r="N49" s="3"/>
      <c r="O49" s="3"/>
      <c r="P49" s="12"/>
      <c r="Q49" s="3"/>
      <c r="R49" s="3"/>
    </row>
    <row r="50" spans="1:18">
      <c r="A50" s="3"/>
      <c r="B50" s="3"/>
      <c r="C50" s="3"/>
      <c r="D50" s="3"/>
      <c r="E50" s="3"/>
      <c r="F50" s="3"/>
      <c r="G50" s="13" t="str">
        <f t="shared" si="0"/>
        <v/>
      </c>
      <c r="H50" s="13" t="str">
        <f t="shared" si="1"/>
        <v/>
      </c>
      <c r="I50" s="13" t="str">
        <f t="shared" si="2"/>
        <v/>
      </c>
      <c r="J50" s="3"/>
      <c r="K50" s="3"/>
      <c r="L50" s="3"/>
      <c r="M50" s="3"/>
      <c r="N50" s="3"/>
      <c r="O50" s="3"/>
      <c r="P50" s="12"/>
      <c r="Q50" s="3"/>
      <c r="R50" s="3"/>
    </row>
    <row r="51" spans="1:18">
      <c r="A51" s="3"/>
      <c r="B51" s="3"/>
      <c r="C51" s="3"/>
      <c r="D51" s="3"/>
      <c r="E51" s="3"/>
      <c r="F51" s="3"/>
      <c r="G51" s="13" t="str">
        <f t="shared" si="0"/>
        <v/>
      </c>
      <c r="H51" s="13" t="str">
        <f t="shared" si="1"/>
        <v/>
      </c>
      <c r="I51" s="13" t="str">
        <f t="shared" si="2"/>
        <v/>
      </c>
      <c r="J51" s="3"/>
      <c r="K51" s="3"/>
      <c r="L51" s="3"/>
      <c r="M51" s="3"/>
      <c r="N51" s="3"/>
      <c r="O51" s="3"/>
      <c r="P51" s="12"/>
      <c r="Q51" s="3"/>
      <c r="R51" s="3"/>
    </row>
    <row r="52" spans="1:18">
      <c r="A52" s="3"/>
      <c r="B52" s="3"/>
      <c r="C52" s="3"/>
      <c r="D52" s="3"/>
      <c r="E52" s="3"/>
      <c r="F52" s="3"/>
      <c r="G52" s="13" t="str">
        <f t="shared" si="0"/>
        <v/>
      </c>
      <c r="H52" s="13" t="str">
        <f t="shared" si="1"/>
        <v/>
      </c>
      <c r="I52" s="13" t="str">
        <f t="shared" si="2"/>
        <v/>
      </c>
      <c r="J52" s="3"/>
      <c r="K52" s="3"/>
      <c r="L52" s="3"/>
      <c r="M52" s="3"/>
      <c r="N52" s="3"/>
      <c r="O52" s="3"/>
      <c r="P52" s="12"/>
      <c r="Q52" s="3"/>
      <c r="R52" s="3"/>
    </row>
    <row r="53" spans="1:18">
      <c r="A53" s="3"/>
      <c r="B53" s="3"/>
      <c r="C53" s="3"/>
      <c r="D53" s="3"/>
      <c r="E53" s="3"/>
      <c r="F53" s="3"/>
      <c r="G53" s="13" t="str">
        <f t="shared" si="0"/>
        <v/>
      </c>
      <c r="H53" s="13" t="str">
        <f t="shared" si="1"/>
        <v/>
      </c>
      <c r="I53" s="13" t="str">
        <f t="shared" si="2"/>
        <v/>
      </c>
      <c r="J53" s="3"/>
      <c r="K53" s="3"/>
      <c r="L53" s="3"/>
      <c r="M53" s="3"/>
      <c r="N53" s="3"/>
      <c r="O53" s="3"/>
      <c r="P53" s="12"/>
      <c r="Q53" s="3"/>
      <c r="R53" s="3"/>
    </row>
    <row r="54" spans="1:18">
      <c r="A54" s="3"/>
      <c r="B54" s="3"/>
      <c r="C54" s="3"/>
      <c r="D54" s="3"/>
      <c r="E54" s="3"/>
      <c r="F54" s="3"/>
      <c r="G54" s="13" t="str">
        <f t="shared" si="0"/>
        <v/>
      </c>
      <c r="H54" s="13" t="str">
        <f t="shared" si="1"/>
        <v/>
      </c>
      <c r="I54" s="13" t="str">
        <f t="shared" si="2"/>
        <v/>
      </c>
      <c r="J54" s="3"/>
      <c r="K54" s="3"/>
      <c r="L54" s="3"/>
      <c r="M54" s="3"/>
      <c r="N54" s="3"/>
      <c r="O54" s="3"/>
      <c r="P54" s="12"/>
      <c r="Q54" s="3"/>
      <c r="R54" s="3"/>
    </row>
    <row r="55" spans="1:18">
      <c r="A55" s="3"/>
      <c r="B55" s="3"/>
      <c r="C55" s="3"/>
      <c r="D55" s="3"/>
      <c r="E55" s="3"/>
      <c r="F55" s="3"/>
      <c r="G55" s="13" t="str">
        <f t="shared" si="0"/>
        <v/>
      </c>
      <c r="H55" s="13" t="str">
        <f t="shared" si="1"/>
        <v/>
      </c>
      <c r="I55" s="13" t="str">
        <f t="shared" si="2"/>
        <v/>
      </c>
      <c r="J55" s="3"/>
      <c r="K55" s="3"/>
      <c r="L55" s="3"/>
      <c r="M55" s="3"/>
      <c r="N55" s="3"/>
      <c r="O55" s="3"/>
      <c r="P55" s="12"/>
      <c r="Q55" s="3"/>
      <c r="R55" s="3"/>
    </row>
    <row r="56" spans="1:18">
      <c r="A56" s="3"/>
      <c r="B56" s="3"/>
      <c r="C56" s="3"/>
      <c r="D56" s="3"/>
      <c r="E56" s="3"/>
      <c r="F56" s="3"/>
      <c r="G56" s="13" t="str">
        <f t="shared" si="0"/>
        <v/>
      </c>
      <c r="H56" s="13" t="str">
        <f t="shared" si="1"/>
        <v/>
      </c>
      <c r="I56" s="13" t="str">
        <f t="shared" si="2"/>
        <v/>
      </c>
      <c r="J56" s="3"/>
      <c r="K56" s="3"/>
      <c r="L56" s="3"/>
      <c r="M56" s="3"/>
      <c r="N56" s="3"/>
      <c r="O56" s="3"/>
      <c r="P56" s="12"/>
      <c r="Q56" s="3"/>
      <c r="R56" s="3"/>
    </row>
    <row r="57" spans="1:18">
      <c r="A57" s="3"/>
      <c r="B57" s="3"/>
      <c r="C57" s="3"/>
      <c r="D57" s="3"/>
      <c r="E57" s="3"/>
      <c r="F57" s="3"/>
      <c r="G57" s="13" t="str">
        <f t="shared" si="0"/>
        <v/>
      </c>
      <c r="H57" s="13" t="str">
        <f t="shared" si="1"/>
        <v/>
      </c>
      <c r="I57" s="13" t="str">
        <f t="shared" si="2"/>
        <v/>
      </c>
      <c r="J57" s="3"/>
      <c r="K57" s="3"/>
      <c r="L57" s="3"/>
      <c r="M57" s="3"/>
      <c r="N57" s="3"/>
      <c r="O57" s="3"/>
      <c r="P57" s="12"/>
      <c r="Q57" s="3"/>
      <c r="R57" s="3"/>
    </row>
    <row r="58" spans="1:18">
      <c r="A58" s="3"/>
      <c r="B58" s="3"/>
      <c r="C58" s="3"/>
      <c r="D58" s="3"/>
      <c r="E58" s="3"/>
      <c r="F58" s="3"/>
      <c r="G58" s="13" t="str">
        <f t="shared" si="0"/>
        <v/>
      </c>
      <c r="H58" s="13" t="str">
        <f t="shared" si="1"/>
        <v/>
      </c>
      <c r="I58" s="13" t="str">
        <f t="shared" si="2"/>
        <v/>
      </c>
      <c r="J58" s="3"/>
      <c r="K58" s="3"/>
      <c r="L58" s="3"/>
      <c r="M58" s="3"/>
      <c r="N58" s="3"/>
      <c r="O58" s="3"/>
      <c r="P58" s="12"/>
      <c r="Q58" s="3"/>
      <c r="R58" s="3"/>
    </row>
    <row r="59" spans="1:18">
      <c r="A59" s="3"/>
      <c r="B59" s="3"/>
      <c r="C59" s="3"/>
      <c r="D59" s="3"/>
      <c r="E59" s="3"/>
      <c r="F59" s="3"/>
      <c r="G59" s="13" t="str">
        <f t="shared" si="0"/>
        <v/>
      </c>
      <c r="H59" s="13" t="str">
        <f t="shared" si="1"/>
        <v/>
      </c>
      <c r="I59" s="13" t="str">
        <f t="shared" si="2"/>
        <v/>
      </c>
      <c r="J59" s="3"/>
      <c r="K59" s="3"/>
      <c r="L59" s="3"/>
      <c r="M59" s="3"/>
      <c r="N59" s="3"/>
      <c r="O59" s="3"/>
      <c r="P59" s="12"/>
      <c r="Q59" s="3"/>
      <c r="R59" s="3"/>
    </row>
    <row r="60" spans="1:18">
      <c r="A60" s="3"/>
      <c r="B60" s="3"/>
      <c r="C60" s="3"/>
      <c r="D60" s="3"/>
      <c r="E60" s="3"/>
      <c r="F60" s="3"/>
      <c r="G60" s="13" t="str">
        <f t="shared" si="0"/>
        <v/>
      </c>
      <c r="H60" s="13" t="str">
        <f t="shared" si="1"/>
        <v/>
      </c>
      <c r="I60" s="13" t="str">
        <f t="shared" si="2"/>
        <v/>
      </c>
      <c r="J60" s="3"/>
      <c r="K60" s="3"/>
      <c r="L60" s="3"/>
      <c r="M60" s="3"/>
      <c r="N60" s="3"/>
      <c r="O60" s="3"/>
      <c r="P60" s="12"/>
      <c r="Q60" s="3"/>
      <c r="R60" s="3"/>
    </row>
    <row r="61" spans="1:18">
      <c r="A61" s="3"/>
      <c r="B61" s="3"/>
      <c r="C61" s="3"/>
      <c r="D61" s="3"/>
      <c r="E61" s="3"/>
      <c r="F61" s="3"/>
      <c r="G61" s="13" t="str">
        <f t="shared" si="0"/>
        <v/>
      </c>
      <c r="H61" s="13" t="str">
        <f t="shared" si="1"/>
        <v/>
      </c>
      <c r="I61" s="13" t="str">
        <f t="shared" si="2"/>
        <v/>
      </c>
      <c r="J61" s="3"/>
      <c r="K61" s="3"/>
      <c r="L61" s="3"/>
      <c r="M61" s="3"/>
      <c r="N61" s="3"/>
      <c r="O61" s="3"/>
      <c r="P61" s="12"/>
      <c r="Q61" s="3"/>
      <c r="R61" s="3"/>
    </row>
    <row r="62" spans="1:18">
      <c r="A62" s="3"/>
      <c r="B62" s="3"/>
      <c r="C62" s="3"/>
      <c r="D62" s="3"/>
      <c r="E62" s="3"/>
      <c r="F62" s="3"/>
      <c r="G62" s="13" t="str">
        <f t="shared" si="0"/>
        <v/>
      </c>
      <c r="H62" s="13" t="str">
        <f t="shared" si="1"/>
        <v/>
      </c>
      <c r="I62" s="13" t="str">
        <f t="shared" si="2"/>
        <v/>
      </c>
      <c r="J62" s="3"/>
      <c r="K62" s="3"/>
      <c r="L62" s="3"/>
      <c r="M62" s="3"/>
      <c r="N62" s="3"/>
      <c r="O62" s="3"/>
      <c r="P62" s="12"/>
      <c r="Q62" s="3"/>
      <c r="R62" s="3"/>
    </row>
    <row r="63" spans="1:18">
      <c r="A63" s="3"/>
      <c r="B63" s="3"/>
      <c r="C63" s="3"/>
      <c r="D63" s="3"/>
      <c r="E63" s="3"/>
      <c r="F63" s="3"/>
      <c r="G63" s="13" t="str">
        <f t="shared" si="0"/>
        <v/>
      </c>
      <c r="H63" s="13" t="str">
        <f t="shared" si="1"/>
        <v/>
      </c>
      <c r="I63" s="13" t="str">
        <f t="shared" si="2"/>
        <v/>
      </c>
      <c r="J63" s="3"/>
      <c r="K63" s="3"/>
      <c r="L63" s="3"/>
      <c r="M63" s="3"/>
      <c r="N63" s="3"/>
      <c r="O63" s="3"/>
      <c r="P63" s="12"/>
      <c r="Q63" s="3"/>
      <c r="R63" s="3"/>
    </row>
    <row r="64" spans="1:18">
      <c r="A64" s="3"/>
      <c r="B64" s="3"/>
      <c r="C64" s="3"/>
      <c r="D64" s="3"/>
      <c r="E64" s="3"/>
      <c r="F64" s="3"/>
      <c r="G64" s="13" t="str">
        <f t="shared" si="0"/>
        <v/>
      </c>
      <c r="H64" s="13" t="str">
        <f t="shared" si="1"/>
        <v/>
      </c>
      <c r="I64" s="13" t="str">
        <f t="shared" si="2"/>
        <v/>
      </c>
      <c r="J64" s="3"/>
      <c r="K64" s="3"/>
      <c r="L64" s="3"/>
      <c r="M64" s="3"/>
      <c r="N64" s="3"/>
      <c r="O64" s="3"/>
      <c r="P64" s="12"/>
      <c r="Q64" s="3"/>
      <c r="R64" s="3"/>
    </row>
    <row r="65" spans="1:18">
      <c r="A65" s="3"/>
      <c r="B65" s="3"/>
      <c r="C65" s="3"/>
      <c r="D65" s="3"/>
      <c r="E65" s="3"/>
      <c r="F65" s="3"/>
      <c r="G65" s="13" t="str">
        <f t="shared" si="0"/>
        <v/>
      </c>
      <c r="H65" s="13" t="str">
        <f t="shared" si="1"/>
        <v/>
      </c>
      <c r="I65" s="13" t="str">
        <f t="shared" si="2"/>
        <v/>
      </c>
      <c r="J65" s="3"/>
      <c r="K65" s="3"/>
      <c r="L65" s="3"/>
      <c r="M65" s="3"/>
      <c r="N65" s="3"/>
      <c r="O65" s="3"/>
      <c r="P65" s="12"/>
      <c r="Q65" s="3"/>
      <c r="R65" s="3"/>
    </row>
    <row r="66" spans="1:18">
      <c r="A66" s="3"/>
      <c r="B66" s="3"/>
      <c r="C66" s="3"/>
      <c r="D66" s="3"/>
      <c r="E66" s="3"/>
      <c r="F66" s="3"/>
      <c r="G66" s="13" t="str">
        <f t="shared" si="0"/>
        <v/>
      </c>
      <c r="H66" s="13" t="str">
        <f t="shared" si="1"/>
        <v/>
      </c>
      <c r="I66" s="13" t="str">
        <f t="shared" si="2"/>
        <v/>
      </c>
      <c r="J66" s="3"/>
      <c r="K66" s="3"/>
      <c r="L66" s="3"/>
      <c r="M66" s="3"/>
      <c r="N66" s="3"/>
      <c r="O66" s="3"/>
      <c r="P66" s="12"/>
      <c r="Q66" s="3"/>
      <c r="R66" s="3"/>
    </row>
    <row r="67" spans="1:18">
      <c r="A67" s="3"/>
      <c r="B67" s="3"/>
      <c r="C67" s="3"/>
      <c r="D67" s="3"/>
      <c r="E67" s="3"/>
      <c r="F67" s="3"/>
      <c r="G67" s="13" t="str">
        <f t="shared" ref="G67:G130" si="3">IF(E67="","",E67/5)</f>
        <v/>
      </c>
      <c r="H67" s="13" t="str">
        <f t="shared" ref="H67:H130" si="4">IF(E67="","",E67/6)</f>
        <v/>
      </c>
      <c r="I67" s="13" t="str">
        <f t="shared" ref="I67:I130" si="5">IF(E67="","",E67/7)</f>
        <v/>
      </c>
      <c r="J67" s="3"/>
      <c r="K67" s="3"/>
      <c r="L67" s="3"/>
      <c r="M67" s="3"/>
      <c r="N67" s="3"/>
      <c r="O67" s="3"/>
      <c r="P67" s="12"/>
      <c r="Q67" s="3"/>
      <c r="R67" s="3"/>
    </row>
    <row r="68" spans="1:18">
      <c r="A68" s="3"/>
      <c r="B68" s="3"/>
      <c r="C68" s="3"/>
      <c r="D68" s="3"/>
      <c r="E68" s="3"/>
      <c r="F68" s="3"/>
      <c r="G68" s="13" t="str">
        <f t="shared" si="3"/>
        <v/>
      </c>
      <c r="H68" s="13" t="str">
        <f t="shared" si="4"/>
        <v/>
      </c>
      <c r="I68" s="13" t="str">
        <f t="shared" si="5"/>
        <v/>
      </c>
      <c r="J68" s="3"/>
      <c r="K68" s="3"/>
      <c r="L68" s="3"/>
      <c r="M68" s="3"/>
      <c r="N68" s="3"/>
      <c r="O68" s="3"/>
      <c r="P68" s="12"/>
      <c r="Q68" s="3"/>
      <c r="R68" s="3"/>
    </row>
    <row r="69" spans="1:18">
      <c r="A69" s="3"/>
      <c r="B69" s="3"/>
      <c r="C69" s="3"/>
      <c r="D69" s="3"/>
      <c r="E69" s="3"/>
      <c r="F69" s="3"/>
      <c r="G69" s="13" t="str">
        <f t="shared" si="3"/>
        <v/>
      </c>
      <c r="H69" s="13" t="str">
        <f t="shared" si="4"/>
        <v/>
      </c>
      <c r="I69" s="13" t="str">
        <f t="shared" si="5"/>
        <v/>
      </c>
      <c r="J69" s="3"/>
      <c r="K69" s="3"/>
      <c r="L69" s="3"/>
      <c r="M69" s="3"/>
      <c r="N69" s="3"/>
      <c r="O69" s="3"/>
      <c r="P69" s="12"/>
      <c r="Q69" s="3"/>
      <c r="R69" s="3"/>
    </row>
    <row r="70" spans="1:18">
      <c r="A70" s="3"/>
      <c r="B70" s="3"/>
      <c r="C70" s="3"/>
      <c r="D70" s="3"/>
      <c r="E70" s="3"/>
      <c r="F70" s="3"/>
      <c r="G70" s="13" t="str">
        <f t="shared" si="3"/>
        <v/>
      </c>
      <c r="H70" s="13" t="str">
        <f t="shared" si="4"/>
        <v/>
      </c>
      <c r="I70" s="13" t="str">
        <f t="shared" si="5"/>
        <v/>
      </c>
      <c r="J70" s="3"/>
      <c r="K70" s="3"/>
      <c r="L70" s="3"/>
      <c r="M70" s="3"/>
      <c r="N70" s="3"/>
      <c r="O70" s="3"/>
      <c r="P70" s="12"/>
      <c r="Q70" s="3"/>
      <c r="R70" s="3"/>
    </row>
    <row r="71" spans="1:18">
      <c r="A71" s="3"/>
      <c r="B71" s="3"/>
      <c r="C71" s="3"/>
      <c r="D71" s="3"/>
      <c r="E71" s="3"/>
      <c r="F71" s="3"/>
      <c r="G71" s="13" t="str">
        <f t="shared" si="3"/>
        <v/>
      </c>
      <c r="H71" s="13" t="str">
        <f t="shared" si="4"/>
        <v/>
      </c>
      <c r="I71" s="13" t="str">
        <f t="shared" si="5"/>
        <v/>
      </c>
      <c r="J71" s="3"/>
      <c r="K71" s="3"/>
      <c r="L71" s="3"/>
      <c r="M71" s="3"/>
      <c r="N71" s="3"/>
      <c r="O71" s="3"/>
      <c r="P71" s="12"/>
      <c r="Q71" s="3"/>
      <c r="R71" s="3"/>
    </row>
    <row r="72" spans="1:18">
      <c r="A72" s="3"/>
      <c r="B72" s="3"/>
      <c r="C72" s="3"/>
      <c r="D72" s="3"/>
      <c r="E72" s="3"/>
      <c r="F72" s="3"/>
      <c r="G72" s="13" t="str">
        <f t="shared" si="3"/>
        <v/>
      </c>
      <c r="H72" s="13" t="str">
        <f t="shared" si="4"/>
        <v/>
      </c>
      <c r="I72" s="13" t="str">
        <f t="shared" si="5"/>
        <v/>
      </c>
      <c r="J72" s="3"/>
      <c r="K72" s="3"/>
      <c r="L72" s="3"/>
      <c r="M72" s="3"/>
      <c r="N72" s="3"/>
      <c r="O72" s="3"/>
      <c r="P72" s="12"/>
      <c r="Q72" s="3"/>
      <c r="R72" s="3"/>
    </row>
    <row r="73" spans="1:18">
      <c r="A73" s="3"/>
      <c r="B73" s="3"/>
      <c r="C73" s="3"/>
      <c r="D73" s="3"/>
      <c r="E73" s="3"/>
      <c r="F73" s="3"/>
      <c r="G73" s="13" t="str">
        <f t="shared" si="3"/>
        <v/>
      </c>
      <c r="H73" s="13" t="str">
        <f t="shared" si="4"/>
        <v/>
      </c>
      <c r="I73" s="13" t="str">
        <f t="shared" si="5"/>
        <v/>
      </c>
      <c r="J73" s="3"/>
      <c r="K73" s="3"/>
      <c r="L73" s="3"/>
      <c r="M73" s="3"/>
      <c r="N73" s="3"/>
      <c r="O73" s="3"/>
      <c r="P73" s="12"/>
      <c r="Q73" s="3"/>
      <c r="R73" s="3"/>
    </row>
    <row r="74" spans="1:18">
      <c r="A74" s="3"/>
      <c r="B74" s="3"/>
      <c r="C74" s="3"/>
      <c r="D74" s="3"/>
      <c r="E74" s="3"/>
      <c r="F74" s="3"/>
      <c r="G74" s="13" t="str">
        <f t="shared" si="3"/>
        <v/>
      </c>
      <c r="H74" s="13" t="str">
        <f t="shared" si="4"/>
        <v/>
      </c>
      <c r="I74" s="13" t="str">
        <f t="shared" si="5"/>
        <v/>
      </c>
      <c r="J74" s="3"/>
      <c r="K74" s="3"/>
      <c r="L74" s="3"/>
      <c r="M74" s="3"/>
      <c r="N74" s="3"/>
      <c r="O74" s="3"/>
      <c r="P74" s="12"/>
      <c r="Q74" s="3"/>
      <c r="R74" s="3"/>
    </row>
    <row r="75" spans="1:18">
      <c r="A75" s="3"/>
      <c r="B75" s="3"/>
      <c r="C75" s="3"/>
      <c r="D75" s="3"/>
      <c r="E75" s="3"/>
      <c r="F75" s="3"/>
      <c r="G75" s="13" t="str">
        <f t="shared" si="3"/>
        <v/>
      </c>
      <c r="H75" s="13" t="str">
        <f t="shared" si="4"/>
        <v/>
      </c>
      <c r="I75" s="13" t="str">
        <f t="shared" si="5"/>
        <v/>
      </c>
      <c r="J75" s="3"/>
      <c r="K75" s="3"/>
      <c r="L75" s="3"/>
      <c r="M75" s="3"/>
      <c r="N75" s="3"/>
      <c r="O75" s="3"/>
      <c r="P75" s="12"/>
      <c r="Q75" s="3"/>
      <c r="R75" s="3"/>
    </row>
    <row r="76" spans="1:18">
      <c r="A76" s="3"/>
      <c r="B76" s="3"/>
      <c r="C76" s="3"/>
      <c r="D76" s="3"/>
      <c r="E76" s="3"/>
      <c r="F76" s="3"/>
      <c r="G76" s="13" t="str">
        <f t="shared" si="3"/>
        <v/>
      </c>
      <c r="H76" s="13" t="str">
        <f t="shared" si="4"/>
        <v/>
      </c>
      <c r="I76" s="13" t="str">
        <f t="shared" si="5"/>
        <v/>
      </c>
      <c r="J76" s="3"/>
      <c r="K76" s="3"/>
      <c r="L76" s="3"/>
      <c r="M76" s="3"/>
      <c r="N76" s="3"/>
      <c r="O76" s="3"/>
      <c r="P76" s="12"/>
      <c r="Q76" s="3"/>
      <c r="R76" s="3"/>
    </row>
    <row r="77" spans="1:18">
      <c r="A77" s="3"/>
      <c r="B77" s="3"/>
      <c r="C77" s="3"/>
      <c r="D77" s="3"/>
      <c r="E77" s="3"/>
      <c r="F77" s="3"/>
      <c r="G77" s="13" t="str">
        <f t="shared" si="3"/>
        <v/>
      </c>
      <c r="H77" s="13" t="str">
        <f t="shared" si="4"/>
        <v/>
      </c>
      <c r="I77" s="13" t="str">
        <f t="shared" si="5"/>
        <v/>
      </c>
      <c r="J77" s="3"/>
      <c r="K77" s="3"/>
      <c r="L77" s="3"/>
      <c r="M77" s="3"/>
      <c r="N77" s="3"/>
      <c r="O77" s="3"/>
      <c r="P77" s="12"/>
      <c r="Q77" s="3"/>
      <c r="R77" s="3"/>
    </row>
    <row r="78" spans="1:18">
      <c r="A78" s="3"/>
      <c r="B78" s="3"/>
      <c r="C78" s="3"/>
      <c r="D78" s="3"/>
      <c r="E78" s="3"/>
      <c r="F78" s="3"/>
      <c r="G78" s="13" t="str">
        <f t="shared" si="3"/>
        <v/>
      </c>
      <c r="H78" s="13" t="str">
        <f t="shared" si="4"/>
        <v/>
      </c>
      <c r="I78" s="13" t="str">
        <f t="shared" si="5"/>
        <v/>
      </c>
      <c r="J78" s="3"/>
      <c r="K78" s="3"/>
      <c r="L78" s="3"/>
      <c r="M78" s="3"/>
      <c r="N78" s="3"/>
      <c r="O78" s="3"/>
      <c r="P78" s="12"/>
      <c r="Q78" s="3"/>
      <c r="R78" s="3"/>
    </row>
    <row r="79" spans="1:18">
      <c r="A79" s="3"/>
      <c r="B79" s="3"/>
      <c r="C79" s="3"/>
      <c r="D79" s="3"/>
      <c r="E79" s="3"/>
      <c r="F79" s="3"/>
      <c r="G79" s="13" t="str">
        <f t="shared" si="3"/>
        <v/>
      </c>
      <c r="H79" s="13" t="str">
        <f t="shared" si="4"/>
        <v/>
      </c>
      <c r="I79" s="13" t="str">
        <f t="shared" si="5"/>
        <v/>
      </c>
      <c r="J79" s="3"/>
      <c r="K79" s="3"/>
      <c r="L79" s="3"/>
      <c r="M79" s="3"/>
      <c r="N79" s="3"/>
      <c r="O79" s="3"/>
      <c r="P79" s="12"/>
      <c r="Q79" s="3"/>
      <c r="R79" s="3"/>
    </row>
    <row r="80" spans="1:18">
      <c r="A80" s="3"/>
      <c r="B80" s="3"/>
      <c r="C80" s="3"/>
      <c r="D80" s="3"/>
      <c r="E80" s="3"/>
      <c r="F80" s="3"/>
      <c r="G80" s="13" t="str">
        <f t="shared" si="3"/>
        <v/>
      </c>
      <c r="H80" s="13" t="str">
        <f t="shared" si="4"/>
        <v/>
      </c>
      <c r="I80" s="13" t="str">
        <f t="shared" si="5"/>
        <v/>
      </c>
      <c r="J80" s="3"/>
      <c r="K80" s="3"/>
      <c r="L80" s="3"/>
      <c r="M80" s="3"/>
      <c r="N80" s="3"/>
      <c r="O80" s="3"/>
      <c r="P80" s="12"/>
      <c r="Q80" s="3"/>
      <c r="R80" s="3"/>
    </row>
    <row r="81" spans="1:18">
      <c r="A81" s="3"/>
      <c r="B81" s="3"/>
      <c r="C81" s="3"/>
      <c r="D81" s="3"/>
      <c r="E81" s="3"/>
      <c r="F81" s="3"/>
      <c r="G81" s="13" t="str">
        <f t="shared" si="3"/>
        <v/>
      </c>
      <c r="H81" s="13" t="str">
        <f t="shared" si="4"/>
        <v/>
      </c>
      <c r="I81" s="13" t="str">
        <f t="shared" si="5"/>
        <v/>
      </c>
      <c r="J81" s="3"/>
      <c r="K81" s="3"/>
      <c r="L81" s="3"/>
      <c r="M81" s="3"/>
      <c r="N81" s="3"/>
      <c r="O81" s="3"/>
      <c r="P81" s="12"/>
      <c r="Q81" s="3"/>
      <c r="R81" s="3"/>
    </row>
    <row r="82" spans="1:18">
      <c r="A82" s="3"/>
      <c r="B82" s="3"/>
      <c r="C82" s="3"/>
      <c r="D82" s="3"/>
      <c r="E82" s="3"/>
      <c r="F82" s="3"/>
      <c r="G82" s="13" t="str">
        <f t="shared" si="3"/>
        <v/>
      </c>
      <c r="H82" s="13" t="str">
        <f t="shared" si="4"/>
        <v/>
      </c>
      <c r="I82" s="13" t="str">
        <f t="shared" si="5"/>
        <v/>
      </c>
      <c r="J82" s="3"/>
      <c r="K82" s="3"/>
      <c r="L82" s="3"/>
      <c r="M82" s="3"/>
      <c r="N82" s="3"/>
      <c r="O82" s="3"/>
      <c r="P82" s="12"/>
      <c r="Q82" s="3"/>
      <c r="R82" s="3"/>
    </row>
    <row r="83" spans="1:18">
      <c r="A83" s="3"/>
      <c r="B83" s="3"/>
      <c r="C83" s="3"/>
      <c r="D83" s="3"/>
      <c r="E83" s="3"/>
      <c r="F83" s="3"/>
      <c r="G83" s="13" t="str">
        <f t="shared" si="3"/>
        <v/>
      </c>
      <c r="H83" s="13" t="str">
        <f t="shared" si="4"/>
        <v/>
      </c>
      <c r="I83" s="13" t="str">
        <f t="shared" si="5"/>
        <v/>
      </c>
      <c r="J83" s="3"/>
      <c r="K83" s="3"/>
      <c r="L83" s="3"/>
      <c r="M83" s="3"/>
      <c r="N83" s="3"/>
      <c r="O83" s="3"/>
      <c r="P83" s="12"/>
      <c r="Q83" s="3"/>
      <c r="R83" s="3"/>
    </row>
    <row r="84" spans="1:18">
      <c r="A84" s="3"/>
      <c r="B84" s="3"/>
      <c r="C84" s="3"/>
      <c r="D84" s="3"/>
      <c r="E84" s="3"/>
      <c r="F84" s="3"/>
      <c r="G84" s="13" t="str">
        <f t="shared" si="3"/>
        <v/>
      </c>
      <c r="H84" s="13" t="str">
        <f t="shared" si="4"/>
        <v/>
      </c>
      <c r="I84" s="13" t="str">
        <f t="shared" si="5"/>
        <v/>
      </c>
      <c r="J84" s="3"/>
      <c r="K84" s="3"/>
      <c r="L84" s="3"/>
      <c r="M84" s="3"/>
      <c r="N84" s="3"/>
      <c r="O84" s="3"/>
      <c r="P84" s="12"/>
      <c r="Q84" s="3"/>
      <c r="R84" s="3"/>
    </row>
    <row r="85" spans="1:18">
      <c r="A85" s="3"/>
      <c r="B85" s="3"/>
      <c r="C85" s="3"/>
      <c r="D85" s="3"/>
      <c r="E85" s="3"/>
      <c r="F85" s="3"/>
      <c r="G85" s="13" t="str">
        <f t="shared" si="3"/>
        <v/>
      </c>
      <c r="H85" s="13" t="str">
        <f t="shared" si="4"/>
        <v/>
      </c>
      <c r="I85" s="13" t="str">
        <f t="shared" si="5"/>
        <v/>
      </c>
      <c r="J85" s="3"/>
      <c r="K85" s="3"/>
      <c r="L85" s="3"/>
      <c r="M85" s="3"/>
      <c r="N85" s="3"/>
      <c r="O85" s="3"/>
      <c r="P85" s="12"/>
      <c r="Q85" s="3"/>
      <c r="R85" s="3"/>
    </row>
    <row r="86" spans="1:18">
      <c r="A86" s="3"/>
      <c r="B86" s="3"/>
      <c r="C86" s="3"/>
      <c r="D86" s="3"/>
      <c r="E86" s="3"/>
      <c r="F86" s="3"/>
      <c r="G86" s="13" t="str">
        <f t="shared" si="3"/>
        <v/>
      </c>
      <c r="H86" s="13" t="str">
        <f t="shared" si="4"/>
        <v/>
      </c>
      <c r="I86" s="13" t="str">
        <f t="shared" si="5"/>
        <v/>
      </c>
      <c r="J86" s="3"/>
      <c r="K86" s="3"/>
      <c r="L86" s="3"/>
      <c r="M86" s="3"/>
      <c r="N86" s="3"/>
      <c r="O86" s="3"/>
      <c r="P86" s="12"/>
      <c r="Q86" s="3"/>
      <c r="R86" s="3"/>
    </row>
    <row r="87" spans="1:18">
      <c r="A87" s="3"/>
      <c r="B87" s="3"/>
      <c r="C87" s="3"/>
      <c r="D87" s="3"/>
      <c r="E87" s="3"/>
      <c r="F87" s="3"/>
      <c r="G87" s="13" t="str">
        <f t="shared" si="3"/>
        <v/>
      </c>
      <c r="H87" s="13" t="str">
        <f t="shared" si="4"/>
        <v/>
      </c>
      <c r="I87" s="13" t="str">
        <f t="shared" si="5"/>
        <v/>
      </c>
      <c r="J87" s="3"/>
      <c r="K87" s="3"/>
      <c r="L87" s="3"/>
      <c r="M87" s="3"/>
      <c r="N87" s="3"/>
      <c r="O87" s="3"/>
      <c r="P87" s="12"/>
      <c r="Q87" s="3"/>
      <c r="R87" s="3"/>
    </row>
    <row r="88" spans="1:18">
      <c r="A88" s="3"/>
      <c r="B88" s="3"/>
      <c r="C88" s="3"/>
      <c r="D88" s="3"/>
      <c r="E88" s="3"/>
      <c r="F88" s="3"/>
      <c r="G88" s="13" t="str">
        <f t="shared" si="3"/>
        <v/>
      </c>
      <c r="H88" s="13" t="str">
        <f t="shared" si="4"/>
        <v/>
      </c>
      <c r="I88" s="13" t="str">
        <f t="shared" si="5"/>
        <v/>
      </c>
      <c r="J88" s="3"/>
      <c r="K88" s="3"/>
      <c r="L88" s="3"/>
      <c r="M88" s="3"/>
      <c r="N88" s="3"/>
      <c r="O88" s="3"/>
      <c r="P88" s="12"/>
      <c r="Q88" s="3"/>
      <c r="R88" s="3"/>
    </row>
    <row r="89" spans="1:18">
      <c r="A89" s="3"/>
      <c r="B89" s="3"/>
      <c r="C89" s="3"/>
      <c r="D89" s="3"/>
      <c r="E89" s="3"/>
      <c r="F89" s="3"/>
      <c r="G89" s="13" t="str">
        <f t="shared" si="3"/>
        <v/>
      </c>
      <c r="H89" s="13" t="str">
        <f t="shared" si="4"/>
        <v/>
      </c>
      <c r="I89" s="13" t="str">
        <f t="shared" si="5"/>
        <v/>
      </c>
      <c r="J89" s="3"/>
      <c r="K89" s="3"/>
      <c r="L89" s="3"/>
      <c r="M89" s="3"/>
      <c r="N89" s="3"/>
      <c r="O89" s="3"/>
      <c r="P89" s="12"/>
      <c r="Q89" s="3"/>
      <c r="R89" s="3"/>
    </row>
    <row r="90" spans="1:18">
      <c r="A90" s="3"/>
      <c r="B90" s="3"/>
      <c r="C90" s="3"/>
      <c r="D90" s="3"/>
      <c r="E90" s="3"/>
      <c r="F90" s="3"/>
      <c r="G90" s="13" t="str">
        <f t="shared" si="3"/>
        <v/>
      </c>
      <c r="H90" s="13" t="str">
        <f t="shared" si="4"/>
        <v/>
      </c>
      <c r="I90" s="13" t="str">
        <f t="shared" si="5"/>
        <v/>
      </c>
      <c r="J90" s="3"/>
      <c r="K90" s="3"/>
      <c r="L90" s="3"/>
      <c r="M90" s="3"/>
      <c r="N90" s="3"/>
      <c r="O90" s="3"/>
      <c r="P90" s="12"/>
      <c r="Q90" s="3"/>
      <c r="R90" s="3"/>
    </row>
    <row r="91" spans="1:18">
      <c r="A91" s="3"/>
      <c r="B91" s="3"/>
      <c r="C91" s="3"/>
      <c r="D91" s="3"/>
      <c r="E91" s="3"/>
      <c r="F91" s="3"/>
      <c r="G91" s="13" t="str">
        <f t="shared" si="3"/>
        <v/>
      </c>
      <c r="H91" s="13" t="str">
        <f t="shared" si="4"/>
        <v/>
      </c>
      <c r="I91" s="13" t="str">
        <f t="shared" si="5"/>
        <v/>
      </c>
      <c r="J91" s="3"/>
      <c r="K91" s="3"/>
      <c r="L91" s="3"/>
      <c r="M91" s="3"/>
      <c r="N91" s="3"/>
      <c r="O91" s="3"/>
      <c r="P91" s="12"/>
      <c r="Q91" s="3"/>
      <c r="R91" s="3"/>
    </row>
    <row r="92" spans="1:18">
      <c r="A92" s="3"/>
      <c r="B92" s="3"/>
      <c r="C92" s="3"/>
      <c r="D92" s="3"/>
      <c r="E92" s="3"/>
      <c r="F92" s="3"/>
      <c r="G92" s="13" t="str">
        <f t="shared" si="3"/>
        <v/>
      </c>
      <c r="H92" s="13" t="str">
        <f t="shared" si="4"/>
        <v/>
      </c>
      <c r="I92" s="13" t="str">
        <f t="shared" si="5"/>
        <v/>
      </c>
      <c r="J92" s="3"/>
      <c r="K92" s="3"/>
      <c r="L92" s="3"/>
      <c r="M92" s="3"/>
      <c r="N92" s="3"/>
      <c r="O92" s="3"/>
      <c r="P92" s="12"/>
      <c r="Q92" s="3"/>
      <c r="R92" s="3"/>
    </row>
    <row r="93" spans="1:18">
      <c r="A93" s="3"/>
      <c r="B93" s="3"/>
      <c r="C93" s="3"/>
      <c r="D93" s="3"/>
      <c r="E93" s="3"/>
      <c r="F93" s="3"/>
      <c r="G93" s="13" t="str">
        <f t="shared" si="3"/>
        <v/>
      </c>
      <c r="H93" s="13" t="str">
        <f t="shared" si="4"/>
        <v/>
      </c>
      <c r="I93" s="13" t="str">
        <f t="shared" si="5"/>
        <v/>
      </c>
      <c r="J93" s="3"/>
      <c r="K93" s="3"/>
      <c r="L93" s="3"/>
      <c r="M93" s="3"/>
      <c r="N93" s="3"/>
      <c r="O93" s="3"/>
      <c r="P93" s="12"/>
      <c r="Q93" s="3"/>
      <c r="R93" s="3"/>
    </row>
    <row r="94" spans="1:18">
      <c r="A94" s="3"/>
      <c r="B94" s="3"/>
      <c r="C94" s="3"/>
      <c r="D94" s="3"/>
      <c r="E94" s="3"/>
      <c r="F94" s="3"/>
      <c r="G94" s="13" t="str">
        <f t="shared" si="3"/>
        <v/>
      </c>
      <c r="H94" s="13" t="str">
        <f t="shared" si="4"/>
        <v/>
      </c>
      <c r="I94" s="13" t="str">
        <f t="shared" si="5"/>
        <v/>
      </c>
      <c r="J94" s="3"/>
      <c r="K94" s="3"/>
      <c r="L94" s="3"/>
      <c r="M94" s="3"/>
      <c r="N94" s="3"/>
      <c r="O94" s="3"/>
      <c r="P94" s="12"/>
      <c r="Q94" s="3"/>
      <c r="R94" s="3"/>
    </row>
    <row r="95" spans="1:18">
      <c r="A95" s="3"/>
      <c r="B95" s="3"/>
      <c r="C95" s="3"/>
      <c r="D95" s="3"/>
      <c r="E95" s="3"/>
      <c r="F95" s="3"/>
      <c r="G95" s="13" t="str">
        <f t="shared" si="3"/>
        <v/>
      </c>
      <c r="H95" s="13" t="str">
        <f t="shared" si="4"/>
        <v/>
      </c>
      <c r="I95" s="13" t="str">
        <f t="shared" si="5"/>
        <v/>
      </c>
      <c r="J95" s="3"/>
      <c r="K95" s="3"/>
      <c r="L95" s="3"/>
      <c r="M95" s="3"/>
      <c r="N95" s="3"/>
      <c r="O95" s="3"/>
      <c r="P95" s="12"/>
      <c r="Q95" s="3"/>
      <c r="R95" s="3"/>
    </row>
    <row r="96" spans="1:18">
      <c r="A96" s="3"/>
      <c r="B96" s="3"/>
      <c r="C96" s="3"/>
      <c r="D96" s="3"/>
      <c r="E96" s="3"/>
      <c r="F96" s="3"/>
      <c r="G96" s="13" t="str">
        <f t="shared" si="3"/>
        <v/>
      </c>
      <c r="H96" s="13" t="str">
        <f t="shared" si="4"/>
        <v/>
      </c>
      <c r="I96" s="13" t="str">
        <f t="shared" si="5"/>
        <v/>
      </c>
      <c r="J96" s="3"/>
      <c r="K96" s="3"/>
      <c r="L96" s="3"/>
      <c r="M96" s="3"/>
      <c r="N96" s="3"/>
      <c r="O96" s="3"/>
      <c r="P96" s="12"/>
      <c r="Q96" s="3"/>
      <c r="R96" s="3"/>
    </row>
    <row r="97" spans="1:18">
      <c r="A97" s="3"/>
      <c r="B97" s="3"/>
      <c r="C97" s="3"/>
      <c r="D97" s="3"/>
      <c r="E97" s="3"/>
      <c r="F97" s="3"/>
      <c r="G97" s="13" t="str">
        <f t="shared" si="3"/>
        <v/>
      </c>
      <c r="H97" s="13" t="str">
        <f t="shared" si="4"/>
        <v/>
      </c>
      <c r="I97" s="13" t="str">
        <f t="shared" si="5"/>
        <v/>
      </c>
      <c r="J97" s="3"/>
      <c r="K97" s="3"/>
      <c r="L97" s="3"/>
      <c r="M97" s="3"/>
      <c r="N97" s="3"/>
      <c r="O97" s="3"/>
      <c r="P97" s="12"/>
      <c r="Q97" s="3"/>
      <c r="R97" s="3"/>
    </row>
    <row r="98" spans="1:18">
      <c r="A98" s="3"/>
      <c r="B98" s="3"/>
      <c r="C98" s="3"/>
      <c r="D98" s="3"/>
      <c r="E98" s="3"/>
      <c r="F98" s="3"/>
      <c r="G98" s="13" t="str">
        <f t="shared" si="3"/>
        <v/>
      </c>
      <c r="H98" s="13" t="str">
        <f t="shared" si="4"/>
        <v/>
      </c>
      <c r="I98" s="13" t="str">
        <f t="shared" si="5"/>
        <v/>
      </c>
      <c r="J98" s="3"/>
      <c r="K98" s="3"/>
      <c r="L98" s="3"/>
      <c r="M98" s="3"/>
      <c r="N98" s="3"/>
      <c r="O98" s="3"/>
      <c r="P98" s="12"/>
      <c r="Q98" s="3"/>
      <c r="R98" s="3"/>
    </row>
    <row r="99" spans="1:18">
      <c r="A99" s="3"/>
      <c r="B99" s="3"/>
      <c r="C99" s="3"/>
      <c r="D99" s="3"/>
      <c r="E99" s="3"/>
      <c r="F99" s="3"/>
      <c r="G99" s="13" t="str">
        <f t="shared" si="3"/>
        <v/>
      </c>
      <c r="H99" s="13" t="str">
        <f t="shared" si="4"/>
        <v/>
      </c>
      <c r="I99" s="13" t="str">
        <f t="shared" si="5"/>
        <v/>
      </c>
      <c r="J99" s="3"/>
      <c r="K99" s="3"/>
      <c r="L99" s="3"/>
      <c r="M99" s="3"/>
      <c r="N99" s="3"/>
      <c r="O99" s="3"/>
      <c r="P99" s="12"/>
      <c r="Q99" s="3"/>
      <c r="R99" s="3"/>
    </row>
    <row r="100" spans="1:18">
      <c r="A100" s="3"/>
      <c r="B100" s="3"/>
      <c r="C100" s="3"/>
      <c r="D100" s="3"/>
      <c r="E100" s="3"/>
      <c r="F100" s="3"/>
      <c r="G100" s="13" t="str">
        <f t="shared" si="3"/>
        <v/>
      </c>
      <c r="H100" s="13" t="str">
        <f t="shared" si="4"/>
        <v/>
      </c>
      <c r="I100" s="13" t="str">
        <f t="shared" si="5"/>
        <v/>
      </c>
      <c r="J100" s="3"/>
      <c r="K100" s="3"/>
      <c r="L100" s="3"/>
      <c r="M100" s="3"/>
      <c r="N100" s="3"/>
      <c r="O100" s="3"/>
      <c r="P100" s="12"/>
      <c r="Q100" s="3"/>
      <c r="R100" s="3"/>
    </row>
    <row r="101" spans="1:18">
      <c r="A101" s="3"/>
      <c r="B101" s="3"/>
      <c r="C101" s="3"/>
      <c r="D101" s="3"/>
      <c r="E101" s="3"/>
      <c r="F101" s="3"/>
      <c r="G101" s="13" t="str">
        <f t="shared" si="3"/>
        <v/>
      </c>
      <c r="H101" s="13" t="str">
        <f t="shared" si="4"/>
        <v/>
      </c>
      <c r="I101" s="13" t="str">
        <f t="shared" si="5"/>
        <v/>
      </c>
      <c r="J101" s="3"/>
      <c r="K101" s="3"/>
      <c r="L101" s="3"/>
      <c r="M101" s="3"/>
      <c r="N101" s="3"/>
      <c r="O101" s="3"/>
      <c r="P101" s="12"/>
      <c r="Q101" s="3"/>
      <c r="R101" s="3"/>
    </row>
    <row r="102" spans="1:18">
      <c r="A102" s="3"/>
      <c r="B102" s="3"/>
      <c r="C102" s="3"/>
      <c r="D102" s="3"/>
      <c r="E102" s="3"/>
      <c r="F102" s="3"/>
      <c r="G102" s="13" t="str">
        <f t="shared" si="3"/>
        <v/>
      </c>
      <c r="H102" s="13" t="str">
        <f t="shared" si="4"/>
        <v/>
      </c>
      <c r="I102" s="13" t="str">
        <f t="shared" si="5"/>
        <v/>
      </c>
      <c r="J102" s="3"/>
      <c r="K102" s="3"/>
      <c r="L102" s="3"/>
      <c r="M102" s="3"/>
      <c r="N102" s="3"/>
      <c r="O102" s="3"/>
      <c r="P102" s="12"/>
      <c r="Q102" s="3"/>
      <c r="R102" s="3"/>
    </row>
    <row r="103" spans="1:18">
      <c r="A103" s="3"/>
      <c r="B103" s="3"/>
      <c r="C103" s="3"/>
      <c r="D103" s="3"/>
      <c r="E103" s="3"/>
      <c r="F103" s="3"/>
      <c r="G103" s="13" t="str">
        <f t="shared" si="3"/>
        <v/>
      </c>
      <c r="H103" s="13" t="str">
        <f t="shared" si="4"/>
        <v/>
      </c>
      <c r="I103" s="13" t="str">
        <f t="shared" si="5"/>
        <v/>
      </c>
      <c r="J103" s="3"/>
      <c r="K103" s="3"/>
      <c r="L103" s="3"/>
      <c r="M103" s="3"/>
      <c r="N103" s="3"/>
      <c r="O103" s="3"/>
      <c r="P103" s="12"/>
      <c r="Q103" s="3"/>
      <c r="R103" s="3"/>
    </row>
    <row r="104" spans="1:18">
      <c r="A104" s="3"/>
      <c r="B104" s="3"/>
      <c r="C104" s="3"/>
      <c r="D104" s="3"/>
      <c r="E104" s="3"/>
      <c r="F104" s="3"/>
      <c r="G104" s="13" t="str">
        <f t="shared" si="3"/>
        <v/>
      </c>
      <c r="H104" s="13" t="str">
        <f t="shared" si="4"/>
        <v/>
      </c>
      <c r="I104" s="13" t="str">
        <f t="shared" si="5"/>
        <v/>
      </c>
      <c r="J104" s="3"/>
      <c r="K104" s="3"/>
      <c r="L104" s="3"/>
      <c r="M104" s="3"/>
      <c r="N104" s="3"/>
      <c r="O104" s="3"/>
      <c r="P104" s="12"/>
      <c r="Q104" s="3"/>
      <c r="R104" s="3"/>
    </row>
    <row r="105" spans="1:18">
      <c r="A105" s="3"/>
      <c r="B105" s="3"/>
      <c r="C105" s="3"/>
      <c r="D105" s="3"/>
      <c r="E105" s="3"/>
      <c r="F105" s="3"/>
      <c r="G105" s="13" t="str">
        <f t="shared" si="3"/>
        <v/>
      </c>
      <c r="H105" s="13" t="str">
        <f t="shared" si="4"/>
        <v/>
      </c>
      <c r="I105" s="13" t="str">
        <f t="shared" si="5"/>
        <v/>
      </c>
      <c r="J105" s="3"/>
      <c r="K105" s="3"/>
      <c r="L105" s="3"/>
      <c r="M105" s="3"/>
      <c r="N105" s="3"/>
      <c r="O105" s="3"/>
      <c r="P105" s="12"/>
      <c r="Q105" s="3"/>
      <c r="R105" s="3"/>
    </row>
    <row r="106" spans="1:18">
      <c r="A106" s="3"/>
      <c r="B106" s="3"/>
      <c r="C106" s="3"/>
      <c r="D106" s="3"/>
      <c r="E106" s="3"/>
      <c r="F106" s="3"/>
      <c r="G106" s="13" t="str">
        <f t="shared" si="3"/>
        <v/>
      </c>
      <c r="H106" s="13" t="str">
        <f t="shared" si="4"/>
        <v/>
      </c>
      <c r="I106" s="13" t="str">
        <f t="shared" si="5"/>
        <v/>
      </c>
      <c r="J106" s="3"/>
      <c r="K106" s="3"/>
      <c r="L106" s="3"/>
      <c r="M106" s="3"/>
      <c r="N106" s="3"/>
      <c r="O106" s="3"/>
      <c r="P106" s="12"/>
      <c r="Q106" s="3"/>
      <c r="R106" s="3"/>
    </row>
    <row r="107" spans="1:18">
      <c r="A107" s="3"/>
      <c r="B107" s="3"/>
      <c r="C107" s="3"/>
      <c r="D107" s="3"/>
      <c r="E107" s="3"/>
      <c r="F107" s="3"/>
      <c r="G107" s="13" t="str">
        <f t="shared" si="3"/>
        <v/>
      </c>
      <c r="H107" s="13" t="str">
        <f t="shared" si="4"/>
        <v/>
      </c>
      <c r="I107" s="13" t="str">
        <f t="shared" si="5"/>
        <v/>
      </c>
      <c r="J107" s="3"/>
      <c r="K107" s="3"/>
      <c r="L107" s="3"/>
      <c r="M107" s="3"/>
      <c r="N107" s="3"/>
      <c r="O107" s="3"/>
      <c r="P107" s="12"/>
      <c r="Q107" s="3"/>
      <c r="R107" s="3"/>
    </row>
    <row r="108" spans="1:18">
      <c r="A108" s="3"/>
      <c r="B108" s="3"/>
      <c r="C108" s="3"/>
      <c r="D108" s="3"/>
      <c r="E108" s="3"/>
      <c r="F108" s="3"/>
      <c r="G108" s="13" t="str">
        <f t="shared" si="3"/>
        <v/>
      </c>
      <c r="H108" s="13" t="str">
        <f t="shared" si="4"/>
        <v/>
      </c>
      <c r="I108" s="13" t="str">
        <f t="shared" si="5"/>
        <v/>
      </c>
      <c r="J108" s="3"/>
      <c r="K108" s="3"/>
      <c r="L108" s="3"/>
      <c r="M108" s="3"/>
      <c r="N108" s="3"/>
      <c r="O108" s="3"/>
      <c r="P108" s="12"/>
      <c r="Q108" s="3"/>
      <c r="R108" s="3"/>
    </row>
    <row r="109" spans="1:18">
      <c r="A109" s="3"/>
      <c r="B109" s="3"/>
      <c r="C109" s="3"/>
      <c r="D109" s="3"/>
      <c r="E109" s="3"/>
      <c r="F109" s="3"/>
      <c r="G109" s="13" t="str">
        <f t="shared" si="3"/>
        <v/>
      </c>
      <c r="H109" s="13" t="str">
        <f t="shared" si="4"/>
        <v/>
      </c>
      <c r="I109" s="13" t="str">
        <f t="shared" si="5"/>
        <v/>
      </c>
      <c r="J109" s="3"/>
      <c r="K109" s="3"/>
      <c r="L109" s="3"/>
      <c r="M109" s="3"/>
      <c r="N109" s="3"/>
      <c r="O109" s="3"/>
      <c r="P109" s="12"/>
      <c r="Q109" s="3"/>
      <c r="R109" s="3"/>
    </row>
    <row r="110" spans="1:18">
      <c r="A110" s="3"/>
      <c r="B110" s="3"/>
      <c r="C110" s="3"/>
      <c r="D110" s="3"/>
      <c r="E110" s="3"/>
      <c r="F110" s="3"/>
      <c r="G110" s="13" t="str">
        <f t="shared" si="3"/>
        <v/>
      </c>
      <c r="H110" s="13" t="str">
        <f t="shared" si="4"/>
        <v/>
      </c>
      <c r="I110" s="13" t="str">
        <f t="shared" si="5"/>
        <v/>
      </c>
      <c r="J110" s="3"/>
      <c r="K110" s="3"/>
      <c r="L110" s="3"/>
      <c r="M110" s="3"/>
      <c r="N110" s="3"/>
      <c r="O110" s="3"/>
      <c r="P110" s="12"/>
      <c r="Q110" s="3"/>
      <c r="R110" s="3"/>
    </row>
    <row r="111" spans="1:18">
      <c r="A111" s="3"/>
      <c r="B111" s="3"/>
      <c r="C111" s="3"/>
      <c r="D111" s="3"/>
      <c r="E111" s="3"/>
      <c r="F111" s="3"/>
      <c r="G111" s="13" t="str">
        <f t="shared" si="3"/>
        <v/>
      </c>
      <c r="H111" s="13" t="str">
        <f t="shared" si="4"/>
        <v/>
      </c>
      <c r="I111" s="13" t="str">
        <f t="shared" si="5"/>
        <v/>
      </c>
      <c r="J111" s="3"/>
      <c r="K111" s="3"/>
      <c r="L111" s="3"/>
      <c r="M111" s="3"/>
      <c r="N111" s="3"/>
      <c r="O111" s="3"/>
      <c r="P111" s="12"/>
      <c r="Q111" s="3"/>
      <c r="R111" s="3"/>
    </row>
    <row r="112" spans="1:18">
      <c r="A112" s="3"/>
      <c r="B112" s="3"/>
      <c r="C112" s="3"/>
      <c r="D112" s="3"/>
      <c r="E112" s="3"/>
      <c r="F112" s="3"/>
      <c r="G112" s="13" t="str">
        <f t="shared" si="3"/>
        <v/>
      </c>
      <c r="H112" s="13" t="str">
        <f t="shared" si="4"/>
        <v/>
      </c>
      <c r="I112" s="13" t="str">
        <f t="shared" si="5"/>
        <v/>
      </c>
      <c r="J112" s="3"/>
      <c r="K112" s="3"/>
      <c r="L112" s="3"/>
      <c r="M112" s="3"/>
      <c r="N112" s="3"/>
      <c r="O112" s="3"/>
      <c r="P112" s="12"/>
      <c r="Q112" s="3"/>
      <c r="R112" s="3"/>
    </row>
    <row r="113" spans="1:18">
      <c r="A113" s="3"/>
      <c r="B113" s="3"/>
      <c r="C113" s="3"/>
      <c r="D113" s="3"/>
      <c r="E113" s="3"/>
      <c r="F113" s="3"/>
      <c r="G113" s="13" t="str">
        <f t="shared" si="3"/>
        <v/>
      </c>
      <c r="H113" s="13" t="str">
        <f t="shared" si="4"/>
        <v/>
      </c>
      <c r="I113" s="13" t="str">
        <f t="shared" si="5"/>
        <v/>
      </c>
      <c r="J113" s="3"/>
      <c r="K113" s="3"/>
      <c r="L113" s="3"/>
      <c r="M113" s="3"/>
      <c r="N113" s="3"/>
      <c r="O113" s="3"/>
      <c r="P113" s="12"/>
      <c r="Q113" s="3"/>
      <c r="R113" s="3"/>
    </row>
    <row r="114" spans="1:18">
      <c r="A114" s="3"/>
      <c r="B114" s="3"/>
      <c r="C114" s="3"/>
      <c r="D114" s="3"/>
      <c r="E114" s="3"/>
      <c r="F114" s="3"/>
      <c r="G114" s="13" t="str">
        <f t="shared" si="3"/>
        <v/>
      </c>
      <c r="H114" s="13" t="str">
        <f t="shared" si="4"/>
        <v/>
      </c>
      <c r="I114" s="13" t="str">
        <f t="shared" si="5"/>
        <v/>
      </c>
      <c r="J114" s="3"/>
      <c r="K114" s="3"/>
      <c r="L114" s="3"/>
      <c r="M114" s="3"/>
      <c r="N114" s="3"/>
      <c r="O114" s="3"/>
      <c r="P114" s="12"/>
      <c r="Q114" s="3"/>
      <c r="R114" s="3"/>
    </row>
    <row r="115" spans="1:18">
      <c r="A115" s="3"/>
      <c r="B115" s="3"/>
      <c r="C115" s="3"/>
      <c r="D115" s="3"/>
      <c r="E115" s="3"/>
      <c r="F115" s="3"/>
      <c r="G115" s="13" t="str">
        <f t="shared" si="3"/>
        <v/>
      </c>
      <c r="H115" s="13" t="str">
        <f t="shared" si="4"/>
        <v/>
      </c>
      <c r="I115" s="13" t="str">
        <f t="shared" si="5"/>
        <v/>
      </c>
      <c r="J115" s="3"/>
      <c r="K115" s="3"/>
      <c r="L115" s="3"/>
      <c r="M115" s="3"/>
      <c r="N115" s="3"/>
      <c r="O115" s="3"/>
      <c r="P115" s="12"/>
      <c r="Q115" s="3"/>
      <c r="R115" s="3"/>
    </row>
    <row r="116" spans="1:18">
      <c r="A116" s="3"/>
      <c r="B116" s="3"/>
      <c r="C116" s="3"/>
      <c r="D116" s="3"/>
      <c r="E116" s="3"/>
      <c r="F116" s="3"/>
      <c r="G116" s="13" t="str">
        <f t="shared" si="3"/>
        <v/>
      </c>
      <c r="H116" s="13" t="str">
        <f t="shared" si="4"/>
        <v/>
      </c>
      <c r="I116" s="13" t="str">
        <f t="shared" si="5"/>
        <v/>
      </c>
      <c r="J116" s="3"/>
      <c r="K116" s="3"/>
      <c r="L116" s="3"/>
      <c r="M116" s="3"/>
      <c r="N116" s="3"/>
      <c r="O116" s="3"/>
      <c r="P116" s="12"/>
      <c r="Q116" s="3"/>
      <c r="R116" s="3"/>
    </row>
    <row r="117" spans="1:18">
      <c r="A117" s="3"/>
      <c r="B117" s="3"/>
      <c r="C117" s="3"/>
      <c r="D117" s="3"/>
      <c r="E117" s="3"/>
      <c r="F117" s="3"/>
      <c r="G117" s="13" t="str">
        <f t="shared" si="3"/>
        <v/>
      </c>
      <c r="H117" s="13" t="str">
        <f t="shared" si="4"/>
        <v/>
      </c>
      <c r="I117" s="13" t="str">
        <f t="shared" si="5"/>
        <v/>
      </c>
      <c r="J117" s="3"/>
      <c r="K117" s="3"/>
      <c r="L117" s="3"/>
      <c r="M117" s="3"/>
      <c r="N117" s="3"/>
      <c r="O117" s="3"/>
      <c r="P117" s="12"/>
      <c r="Q117" s="3"/>
      <c r="R117" s="3"/>
    </row>
    <row r="118" spans="1:18">
      <c r="A118" s="3"/>
      <c r="B118" s="3"/>
      <c r="C118" s="3"/>
      <c r="D118" s="3"/>
      <c r="E118" s="3"/>
      <c r="F118" s="3"/>
      <c r="G118" s="13" t="str">
        <f t="shared" si="3"/>
        <v/>
      </c>
      <c r="H118" s="13" t="str">
        <f t="shared" si="4"/>
        <v/>
      </c>
      <c r="I118" s="13" t="str">
        <f t="shared" si="5"/>
        <v/>
      </c>
      <c r="J118" s="3"/>
      <c r="K118" s="3"/>
      <c r="L118" s="3"/>
      <c r="M118" s="3"/>
      <c r="N118" s="3"/>
      <c r="O118" s="3"/>
      <c r="P118" s="12"/>
      <c r="Q118" s="3"/>
      <c r="R118" s="3"/>
    </row>
    <row r="119" spans="1:18">
      <c r="A119" s="3"/>
      <c r="B119" s="3"/>
      <c r="C119" s="3"/>
      <c r="D119" s="3"/>
      <c r="E119" s="3"/>
      <c r="F119" s="3"/>
      <c r="G119" s="13" t="str">
        <f t="shared" si="3"/>
        <v/>
      </c>
      <c r="H119" s="13" t="str">
        <f t="shared" si="4"/>
        <v/>
      </c>
      <c r="I119" s="13" t="str">
        <f t="shared" si="5"/>
        <v/>
      </c>
      <c r="J119" s="3"/>
      <c r="K119" s="3"/>
      <c r="L119" s="3"/>
      <c r="M119" s="3"/>
      <c r="N119" s="3"/>
      <c r="O119" s="3"/>
      <c r="P119" s="12"/>
      <c r="Q119" s="3"/>
      <c r="R119" s="3"/>
    </row>
    <row r="120" spans="1:18">
      <c r="A120" s="3"/>
      <c r="B120" s="3"/>
      <c r="C120" s="3"/>
      <c r="D120" s="3"/>
      <c r="E120" s="3"/>
      <c r="F120" s="3"/>
      <c r="G120" s="13" t="str">
        <f t="shared" si="3"/>
        <v/>
      </c>
      <c r="H120" s="13" t="str">
        <f t="shared" si="4"/>
        <v/>
      </c>
      <c r="I120" s="13" t="str">
        <f t="shared" si="5"/>
        <v/>
      </c>
      <c r="J120" s="3"/>
      <c r="K120" s="3"/>
      <c r="L120" s="3"/>
      <c r="M120" s="3"/>
      <c r="N120" s="3"/>
      <c r="O120" s="3"/>
      <c r="P120" s="12"/>
      <c r="Q120" s="3"/>
      <c r="R120" s="3"/>
    </row>
    <row r="121" spans="1:18">
      <c r="A121" s="3"/>
      <c r="B121" s="3"/>
      <c r="C121" s="3"/>
      <c r="D121" s="3"/>
      <c r="E121" s="3"/>
      <c r="F121" s="3"/>
      <c r="G121" s="13" t="str">
        <f t="shared" si="3"/>
        <v/>
      </c>
      <c r="H121" s="13" t="str">
        <f t="shared" si="4"/>
        <v/>
      </c>
      <c r="I121" s="13" t="str">
        <f t="shared" si="5"/>
        <v/>
      </c>
      <c r="J121" s="3"/>
      <c r="K121" s="3"/>
      <c r="L121" s="3"/>
      <c r="M121" s="3"/>
      <c r="N121" s="3"/>
      <c r="O121" s="3"/>
      <c r="P121" s="12"/>
      <c r="Q121" s="3"/>
      <c r="R121" s="3"/>
    </row>
    <row r="122" spans="1:18">
      <c r="A122" s="3"/>
      <c r="B122" s="3"/>
      <c r="C122" s="3"/>
      <c r="D122" s="3"/>
      <c r="E122" s="3"/>
      <c r="F122" s="3"/>
      <c r="G122" s="13" t="str">
        <f t="shared" si="3"/>
        <v/>
      </c>
      <c r="H122" s="13" t="str">
        <f t="shared" si="4"/>
        <v/>
      </c>
      <c r="I122" s="13" t="str">
        <f t="shared" si="5"/>
        <v/>
      </c>
      <c r="J122" s="3"/>
      <c r="K122" s="3"/>
      <c r="L122" s="3"/>
      <c r="M122" s="3"/>
      <c r="N122" s="3"/>
      <c r="O122" s="3"/>
      <c r="P122" s="12"/>
      <c r="Q122" s="3"/>
      <c r="R122" s="3"/>
    </row>
    <row r="123" spans="1:18">
      <c r="A123" s="3"/>
      <c r="B123" s="3"/>
      <c r="C123" s="3"/>
      <c r="D123" s="3"/>
      <c r="E123" s="3"/>
      <c r="F123" s="3"/>
      <c r="G123" s="13" t="str">
        <f t="shared" si="3"/>
        <v/>
      </c>
      <c r="H123" s="13" t="str">
        <f t="shared" si="4"/>
        <v/>
      </c>
      <c r="I123" s="13" t="str">
        <f t="shared" si="5"/>
        <v/>
      </c>
      <c r="J123" s="3"/>
      <c r="K123" s="3"/>
      <c r="L123" s="3"/>
      <c r="M123" s="3"/>
      <c r="N123" s="3"/>
      <c r="O123" s="3"/>
      <c r="P123" s="12"/>
      <c r="Q123" s="3"/>
      <c r="R123" s="3"/>
    </row>
    <row r="124" spans="1:18">
      <c r="A124" s="3"/>
      <c r="B124" s="3"/>
      <c r="C124" s="3"/>
      <c r="D124" s="3"/>
      <c r="E124" s="3"/>
      <c r="F124" s="3"/>
      <c r="G124" s="13" t="str">
        <f t="shared" si="3"/>
        <v/>
      </c>
      <c r="H124" s="13" t="str">
        <f t="shared" si="4"/>
        <v/>
      </c>
      <c r="I124" s="13" t="str">
        <f t="shared" si="5"/>
        <v/>
      </c>
      <c r="J124" s="3"/>
      <c r="K124" s="3"/>
      <c r="L124" s="3"/>
      <c r="M124" s="3"/>
      <c r="N124" s="3"/>
      <c r="O124" s="3"/>
      <c r="P124" s="12"/>
      <c r="Q124" s="3"/>
      <c r="R124" s="3"/>
    </row>
    <row r="125" spans="1:18">
      <c r="A125" s="3"/>
      <c r="B125" s="3"/>
      <c r="C125" s="3"/>
      <c r="D125" s="3"/>
      <c r="E125" s="3"/>
      <c r="F125" s="3"/>
      <c r="G125" s="13" t="str">
        <f t="shared" si="3"/>
        <v/>
      </c>
      <c r="H125" s="13" t="str">
        <f t="shared" si="4"/>
        <v/>
      </c>
      <c r="I125" s="13" t="str">
        <f t="shared" si="5"/>
        <v/>
      </c>
      <c r="J125" s="3"/>
      <c r="K125" s="3"/>
      <c r="L125" s="3"/>
      <c r="M125" s="3"/>
      <c r="N125" s="3"/>
      <c r="O125" s="3"/>
      <c r="P125" s="12"/>
      <c r="Q125" s="3"/>
      <c r="R125" s="3"/>
    </row>
    <row r="126" spans="1:18">
      <c r="A126" s="3"/>
      <c r="B126" s="3"/>
      <c r="C126" s="3"/>
      <c r="D126" s="3"/>
      <c r="E126" s="3"/>
      <c r="F126" s="3"/>
      <c r="G126" s="13" t="str">
        <f t="shared" si="3"/>
        <v/>
      </c>
      <c r="H126" s="13" t="str">
        <f t="shared" si="4"/>
        <v/>
      </c>
      <c r="I126" s="13" t="str">
        <f t="shared" si="5"/>
        <v/>
      </c>
      <c r="J126" s="3"/>
      <c r="K126" s="3"/>
      <c r="L126" s="3"/>
      <c r="M126" s="3"/>
      <c r="N126" s="3"/>
      <c r="O126" s="3"/>
      <c r="P126" s="12"/>
      <c r="Q126" s="3"/>
      <c r="R126" s="3"/>
    </row>
    <row r="127" spans="1:18">
      <c r="A127" s="3"/>
      <c r="B127" s="3"/>
      <c r="C127" s="3"/>
      <c r="D127" s="3"/>
      <c r="E127" s="3"/>
      <c r="F127" s="3"/>
      <c r="G127" s="13" t="str">
        <f t="shared" si="3"/>
        <v/>
      </c>
      <c r="H127" s="13" t="str">
        <f t="shared" si="4"/>
        <v/>
      </c>
      <c r="I127" s="13" t="str">
        <f t="shared" si="5"/>
        <v/>
      </c>
      <c r="J127" s="3"/>
      <c r="K127" s="3"/>
      <c r="L127" s="3"/>
      <c r="M127" s="3"/>
      <c r="N127" s="3"/>
      <c r="O127" s="3"/>
      <c r="P127" s="12"/>
      <c r="Q127" s="3"/>
      <c r="R127" s="3"/>
    </row>
    <row r="128" spans="1:18">
      <c r="A128" s="3"/>
      <c r="B128" s="3"/>
      <c r="C128" s="3"/>
      <c r="D128" s="3"/>
      <c r="E128" s="3"/>
      <c r="F128" s="3"/>
      <c r="G128" s="13" t="str">
        <f t="shared" si="3"/>
        <v/>
      </c>
      <c r="H128" s="13" t="str">
        <f t="shared" si="4"/>
        <v/>
      </c>
      <c r="I128" s="13" t="str">
        <f t="shared" si="5"/>
        <v/>
      </c>
      <c r="J128" s="3"/>
      <c r="K128" s="3"/>
      <c r="L128" s="3"/>
      <c r="M128" s="3"/>
      <c r="N128" s="3"/>
      <c r="O128" s="3"/>
      <c r="P128" s="12"/>
      <c r="Q128" s="3"/>
      <c r="R128" s="3"/>
    </row>
    <row r="129" spans="1:18">
      <c r="A129" s="3"/>
      <c r="B129" s="3"/>
      <c r="C129" s="3"/>
      <c r="D129" s="3"/>
      <c r="E129" s="3"/>
      <c r="F129" s="3"/>
      <c r="G129" s="13" t="str">
        <f t="shared" si="3"/>
        <v/>
      </c>
      <c r="H129" s="13" t="str">
        <f t="shared" si="4"/>
        <v/>
      </c>
      <c r="I129" s="13" t="str">
        <f t="shared" si="5"/>
        <v/>
      </c>
      <c r="J129" s="3"/>
      <c r="K129" s="3"/>
      <c r="L129" s="3"/>
      <c r="M129" s="3"/>
      <c r="N129" s="3"/>
      <c r="O129" s="3"/>
      <c r="P129" s="12"/>
      <c r="Q129" s="3"/>
      <c r="R129" s="3"/>
    </row>
    <row r="130" spans="1:18">
      <c r="A130" s="3"/>
      <c r="B130" s="3"/>
      <c r="C130" s="3"/>
      <c r="D130" s="3"/>
      <c r="E130" s="3"/>
      <c r="F130" s="3"/>
      <c r="G130" s="13" t="str">
        <f t="shared" si="3"/>
        <v/>
      </c>
      <c r="H130" s="13" t="str">
        <f t="shared" si="4"/>
        <v/>
      </c>
      <c r="I130" s="13" t="str">
        <f t="shared" si="5"/>
        <v/>
      </c>
      <c r="J130" s="3"/>
      <c r="K130" s="3"/>
      <c r="L130" s="3"/>
      <c r="M130" s="3"/>
      <c r="N130" s="3"/>
      <c r="O130" s="3"/>
      <c r="P130" s="12"/>
      <c r="Q130" s="3"/>
      <c r="R130" s="3"/>
    </row>
    <row r="131" spans="1:18">
      <c r="A131" s="3"/>
      <c r="B131" s="3"/>
      <c r="C131" s="3"/>
      <c r="D131" s="3"/>
      <c r="E131" s="3"/>
      <c r="F131" s="3"/>
      <c r="G131" s="13" t="str">
        <f t="shared" ref="G131:G194" si="6">IF(E131="","",E131/5)</f>
        <v/>
      </c>
      <c r="H131" s="13" t="str">
        <f t="shared" ref="H131:H194" si="7">IF(E131="","",E131/6)</f>
        <v/>
      </c>
      <c r="I131" s="13" t="str">
        <f t="shared" ref="I131:I194" si="8">IF(E131="","",E131/7)</f>
        <v/>
      </c>
      <c r="J131" s="3"/>
      <c r="K131" s="3"/>
      <c r="L131" s="3"/>
      <c r="M131" s="3"/>
      <c r="N131" s="3"/>
      <c r="O131" s="3"/>
      <c r="P131" s="12"/>
      <c r="Q131" s="3"/>
      <c r="R131" s="3"/>
    </row>
    <row r="132" spans="1:18">
      <c r="A132" s="3"/>
      <c r="B132" s="3"/>
      <c r="C132" s="3"/>
      <c r="D132" s="3"/>
      <c r="E132" s="3"/>
      <c r="F132" s="3"/>
      <c r="G132" s="13" t="str">
        <f t="shared" si="6"/>
        <v/>
      </c>
      <c r="H132" s="13" t="str">
        <f t="shared" si="7"/>
        <v/>
      </c>
      <c r="I132" s="13" t="str">
        <f t="shared" si="8"/>
        <v/>
      </c>
      <c r="J132" s="3"/>
      <c r="K132" s="3"/>
      <c r="L132" s="3"/>
      <c r="M132" s="3"/>
      <c r="N132" s="3"/>
      <c r="O132" s="3"/>
      <c r="P132" s="12"/>
      <c r="Q132" s="3"/>
      <c r="R132" s="3"/>
    </row>
    <row r="133" spans="1:18">
      <c r="A133" s="3"/>
      <c r="B133" s="3"/>
      <c r="C133" s="3"/>
      <c r="D133" s="3"/>
      <c r="E133" s="3"/>
      <c r="F133" s="3"/>
      <c r="G133" s="13" t="str">
        <f t="shared" si="6"/>
        <v/>
      </c>
      <c r="H133" s="13" t="str">
        <f t="shared" si="7"/>
        <v/>
      </c>
      <c r="I133" s="13" t="str">
        <f t="shared" si="8"/>
        <v/>
      </c>
      <c r="J133" s="3"/>
      <c r="K133" s="3"/>
      <c r="L133" s="3"/>
      <c r="M133" s="3"/>
      <c r="N133" s="3"/>
      <c r="O133" s="3"/>
      <c r="P133" s="12"/>
      <c r="Q133" s="3"/>
      <c r="R133" s="3"/>
    </row>
    <row r="134" spans="1:18">
      <c r="A134" s="3"/>
      <c r="B134" s="3"/>
      <c r="C134" s="3"/>
      <c r="D134" s="3"/>
      <c r="E134" s="3"/>
      <c r="F134" s="3"/>
      <c r="G134" s="13" t="str">
        <f t="shared" si="6"/>
        <v/>
      </c>
      <c r="H134" s="13" t="str">
        <f t="shared" si="7"/>
        <v/>
      </c>
      <c r="I134" s="13" t="str">
        <f t="shared" si="8"/>
        <v/>
      </c>
      <c r="J134" s="3"/>
      <c r="K134" s="3"/>
      <c r="L134" s="3"/>
      <c r="M134" s="3"/>
      <c r="N134" s="3"/>
      <c r="O134" s="3"/>
      <c r="P134" s="12"/>
      <c r="Q134" s="3"/>
      <c r="R134" s="3"/>
    </row>
    <row r="135" spans="1:18">
      <c r="A135" s="3"/>
      <c r="B135" s="3"/>
      <c r="C135" s="3"/>
      <c r="D135" s="3"/>
      <c r="E135" s="3"/>
      <c r="F135" s="3"/>
      <c r="G135" s="13" t="str">
        <f t="shared" si="6"/>
        <v/>
      </c>
      <c r="H135" s="13" t="str">
        <f t="shared" si="7"/>
        <v/>
      </c>
      <c r="I135" s="13" t="str">
        <f t="shared" si="8"/>
        <v/>
      </c>
      <c r="J135" s="3"/>
      <c r="K135" s="3"/>
      <c r="L135" s="3"/>
      <c r="M135" s="3"/>
      <c r="N135" s="3"/>
      <c r="O135" s="3"/>
      <c r="P135" s="12"/>
      <c r="Q135" s="3"/>
      <c r="R135" s="3"/>
    </row>
    <row r="136" spans="1:18">
      <c r="A136" s="3"/>
      <c r="B136" s="3"/>
      <c r="C136" s="3"/>
      <c r="D136" s="3"/>
      <c r="E136" s="3"/>
      <c r="F136" s="3"/>
      <c r="G136" s="13" t="str">
        <f t="shared" si="6"/>
        <v/>
      </c>
      <c r="H136" s="13" t="str">
        <f t="shared" si="7"/>
        <v/>
      </c>
      <c r="I136" s="13" t="str">
        <f t="shared" si="8"/>
        <v/>
      </c>
      <c r="J136" s="3"/>
      <c r="K136" s="3"/>
      <c r="L136" s="3"/>
      <c r="M136" s="3"/>
      <c r="N136" s="3"/>
      <c r="O136" s="3"/>
      <c r="P136" s="12"/>
      <c r="Q136" s="3"/>
      <c r="R136" s="3"/>
    </row>
    <row r="137" spans="1:18">
      <c r="A137" s="3"/>
      <c r="B137" s="3"/>
      <c r="C137" s="3"/>
      <c r="D137" s="3"/>
      <c r="E137" s="3"/>
      <c r="F137" s="3"/>
      <c r="G137" s="13" t="str">
        <f t="shared" si="6"/>
        <v/>
      </c>
      <c r="H137" s="13" t="str">
        <f t="shared" si="7"/>
        <v/>
      </c>
      <c r="I137" s="13" t="str">
        <f t="shared" si="8"/>
        <v/>
      </c>
      <c r="J137" s="3"/>
      <c r="K137" s="3"/>
      <c r="L137" s="3"/>
      <c r="M137" s="3"/>
      <c r="N137" s="3"/>
      <c r="O137" s="3"/>
      <c r="P137" s="12"/>
      <c r="Q137" s="3"/>
      <c r="R137" s="3"/>
    </row>
    <row r="138" spans="1:18">
      <c r="A138" s="3"/>
      <c r="B138" s="3"/>
      <c r="C138" s="3"/>
      <c r="D138" s="3"/>
      <c r="E138" s="3"/>
      <c r="F138" s="3"/>
      <c r="G138" s="13" t="str">
        <f t="shared" si="6"/>
        <v/>
      </c>
      <c r="H138" s="13" t="str">
        <f t="shared" si="7"/>
        <v/>
      </c>
      <c r="I138" s="13" t="str">
        <f t="shared" si="8"/>
        <v/>
      </c>
      <c r="J138" s="3"/>
      <c r="K138" s="3"/>
      <c r="L138" s="3"/>
      <c r="M138" s="3"/>
      <c r="N138" s="3"/>
      <c r="O138" s="3"/>
      <c r="P138" s="12"/>
      <c r="Q138" s="3"/>
      <c r="R138" s="3"/>
    </row>
    <row r="139" spans="1:18">
      <c r="A139" s="3"/>
      <c r="B139" s="3"/>
      <c r="C139" s="3"/>
      <c r="D139" s="3"/>
      <c r="E139" s="3"/>
      <c r="F139" s="3"/>
      <c r="G139" s="13" t="str">
        <f t="shared" si="6"/>
        <v/>
      </c>
      <c r="H139" s="13" t="str">
        <f t="shared" si="7"/>
        <v/>
      </c>
      <c r="I139" s="13" t="str">
        <f t="shared" si="8"/>
        <v/>
      </c>
      <c r="J139" s="3"/>
      <c r="K139" s="3"/>
      <c r="L139" s="3"/>
      <c r="M139" s="3"/>
      <c r="N139" s="3"/>
      <c r="O139" s="3"/>
      <c r="P139" s="12"/>
      <c r="Q139" s="3"/>
      <c r="R139" s="3"/>
    </row>
    <row r="140" spans="1:18">
      <c r="A140" s="3"/>
      <c r="B140" s="3"/>
      <c r="C140" s="3"/>
      <c r="D140" s="3"/>
      <c r="E140" s="3"/>
      <c r="F140" s="3"/>
      <c r="G140" s="13" t="str">
        <f t="shared" si="6"/>
        <v/>
      </c>
      <c r="H140" s="13" t="str">
        <f t="shared" si="7"/>
        <v/>
      </c>
      <c r="I140" s="13" t="str">
        <f t="shared" si="8"/>
        <v/>
      </c>
      <c r="J140" s="3"/>
      <c r="K140" s="3"/>
      <c r="L140" s="3"/>
      <c r="M140" s="3"/>
      <c r="N140" s="3"/>
      <c r="O140" s="3"/>
      <c r="P140" s="12"/>
      <c r="Q140" s="3"/>
      <c r="R140" s="3"/>
    </row>
    <row r="141" spans="1:18">
      <c r="A141" s="3"/>
      <c r="B141" s="3"/>
      <c r="C141" s="3"/>
      <c r="D141" s="3"/>
      <c r="E141" s="3"/>
      <c r="F141" s="3"/>
      <c r="G141" s="13" t="str">
        <f t="shared" si="6"/>
        <v/>
      </c>
      <c r="H141" s="13" t="str">
        <f t="shared" si="7"/>
        <v/>
      </c>
      <c r="I141" s="13" t="str">
        <f t="shared" si="8"/>
        <v/>
      </c>
      <c r="J141" s="3"/>
      <c r="K141" s="3"/>
      <c r="L141" s="3"/>
      <c r="M141" s="3"/>
      <c r="N141" s="3"/>
      <c r="O141" s="3"/>
      <c r="P141" s="12"/>
      <c r="Q141" s="3"/>
      <c r="R141" s="3"/>
    </row>
    <row r="142" spans="1:18">
      <c r="A142" s="3"/>
      <c r="B142" s="3"/>
      <c r="C142" s="3"/>
      <c r="D142" s="3"/>
      <c r="E142" s="3"/>
      <c r="F142" s="3"/>
      <c r="G142" s="13" t="str">
        <f t="shared" si="6"/>
        <v/>
      </c>
      <c r="H142" s="13" t="str">
        <f t="shared" si="7"/>
        <v/>
      </c>
      <c r="I142" s="13" t="str">
        <f t="shared" si="8"/>
        <v/>
      </c>
      <c r="J142" s="3"/>
      <c r="K142" s="3"/>
      <c r="L142" s="3"/>
      <c r="M142" s="3"/>
      <c r="N142" s="3"/>
      <c r="O142" s="3"/>
      <c r="P142" s="12"/>
      <c r="Q142" s="3"/>
      <c r="R142" s="3"/>
    </row>
    <row r="143" spans="1:18">
      <c r="A143" s="3"/>
      <c r="B143" s="3"/>
      <c r="C143" s="3"/>
      <c r="D143" s="3"/>
      <c r="E143" s="3"/>
      <c r="F143" s="3"/>
      <c r="G143" s="13" t="str">
        <f t="shared" si="6"/>
        <v/>
      </c>
      <c r="H143" s="13" t="str">
        <f t="shared" si="7"/>
        <v/>
      </c>
      <c r="I143" s="13" t="str">
        <f t="shared" si="8"/>
        <v/>
      </c>
      <c r="J143" s="3"/>
      <c r="K143" s="3"/>
      <c r="L143" s="3"/>
      <c r="M143" s="3"/>
      <c r="N143" s="3"/>
      <c r="O143" s="3"/>
      <c r="P143" s="12"/>
      <c r="Q143" s="3"/>
      <c r="R143" s="3"/>
    </row>
    <row r="144" spans="1:18">
      <c r="A144" s="3"/>
      <c r="B144" s="3"/>
      <c r="C144" s="3"/>
      <c r="D144" s="3"/>
      <c r="E144" s="3"/>
      <c r="F144" s="3"/>
      <c r="G144" s="13" t="str">
        <f t="shared" si="6"/>
        <v/>
      </c>
      <c r="H144" s="13" t="str">
        <f t="shared" si="7"/>
        <v/>
      </c>
      <c r="I144" s="13" t="str">
        <f t="shared" si="8"/>
        <v/>
      </c>
      <c r="J144" s="3"/>
      <c r="K144" s="3"/>
      <c r="L144" s="3"/>
      <c r="M144" s="3"/>
      <c r="N144" s="3"/>
      <c r="O144" s="3"/>
      <c r="P144" s="12"/>
      <c r="Q144" s="3"/>
      <c r="R144" s="3"/>
    </row>
    <row r="145" spans="1:18">
      <c r="A145" s="3"/>
      <c r="B145" s="3"/>
      <c r="C145" s="3"/>
      <c r="D145" s="3"/>
      <c r="E145" s="3"/>
      <c r="F145" s="3"/>
      <c r="G145" s="13" t="str">
        <f t="shared" si="6"/>
        <v/>
      </c>
      <c r="H145" s="13" t="str">
        <f t="shared" si="7"/>
        <v/>
      </c>
      <c r="I145" s="13" t="str">
        <f t="shared" si="8"/>
        <v/>
      </c>
      <c r="J145" s="3"/>
      <c r="K145" s="3"/>
      <c r="L145" s="3"/>
      <c r="M145" s="3"/>
      <c r="N145" s="3"/>
      <c r="O145" s="3"/>
      <c r="P145" s="12"/>
      <c r="Q145" s="3"/>
      <c r="R145" s="3"/>
    </row>
    <row r="146" spans="1:18">
      <c r="A146" s="3"/>
      <c r="B146" s="3"/>
      <c r="C146" s="3"/>
      <c r="D146" s="3"/>
      <c r="E146" s="3"/>
      <c r="F146" s="3"/>
      <c r="G146" s="13" t="str">
        <f t="shared" si="6"/>
        <v/>
      </c>
      <c r="H146" s="13" t="str">
        <f t="shared" si="7"/>
        <v/>
      </c>
      <c r="I146" s="13" t="str">
        <f t="shared" si="8"/>
        <v/>
      </c>
      <c r="J146" s="3"/>
      <c r="K146" s="3"/>
      <c r="L146" s="3"/>
      <c r="M146" s="3"/>
      <c r="N146" s="3"/>
      <c r="O146" s="3"/>
      <c r="P146" s="12"/>
      <c r="Q146" s="3"/>
      <c r="R146" s="3"/>
    </row>
    <row r="147" spans="1:18">
      <c r="A147" s="3"/>
      <c r="B147" s="3"/>
      <c r="C147" s="3"/>
      <c r="D147" s="3"/>
      <c r="E147" s="3"/>
      <c r="F147" s="3"/>
      <c r="G147" s="13" t="str">
        <f t="shared" si="6"/>
        <v/>
      </c>
      <c r="H147" s="13" t="str">
        <f t="shared" si="7"/>
        <v/>
      </c>
      <c r="I147" s="13" t="str">
        <f t="shared" si="8"/>
        <v/>
      </c>
      <c r="J147" s="3"/>
      <c r="K147" s="3"/>
      <c r="L147" s="3"/>
      <c r="M147" s="3"/>
      <c r="N147" s="3"/>
      <c r="O147" s="3"/>
      <c r="P147" s="12"/>
      <c r="Q147" s="3"/>
      <c r="R147" s="3"/>
    </row>
    <row r="148" spans="1:18">
      <c r="A148" s="3"/>
      <c r="B148" s="3"/>
      <c r="C148" s="3"/>
      <c r="D148" s="3"/>
      <c r="E148" s="3"/>
      <c r="F148" s="3"/>
      <c r="G148" s="13" t="str">
        <f t="shared" si="6"/>
        <v/>
      </c>
      <c r="H148" s="13" t="str">
        <f t="shared" si="7"/>
        <v/>
      </c>
      <c r="I148" s="13" t="str">
        <f t="shared" si="8"/>
        <v/>
      </c>
      <c r="J148" s="3"/>
      <c r="K148" s="3"/>
      <c r="L148" s="3"/>
      <c r="M148" s="3"/>
      <c r="N148" s="3"/>
      <c r="O148" s="3"/>
      <c r="P148" s="12"/>
      <c r="Q148" s="3"/>
      <c r="R148" s="3"/>
    </row>
    <row r="149" spans="1:18">
      <c r="A149" s="3"/>
      <c r="B149" s="3"/>
      <c r="C149" s="3"/>
      <c r="D149" s="3"/>
      <c r="E149" s="3"/>
      <c r="F149" s="3"/>
      <c r="G149" s="13" t="str">
        <f t="shared" si="6"/>
        <v/>
      </c>
      <c r="H149" s="13" t="str">
        <f t="shared" si="7"/>
        <v/>
      </c>
      <c r="I149" s="13" t="str">
        <f t="shared" si="8"/>
        <v/>
      </c>
      <c r="J149" s="3"/>
      <c r="K149" s="3"/>
      <c r="L149" s="3"/>
      <c r="M149" s="3"/>
      <c r="N149" s="3"/>
      <c r="O149" s="3"/>
      <c r="P149" s="12"/>
      <c r="Q149" s="3"/>
      <c r="R149" s="3"/>
    </row>
    <row r="150" spans="1:18">
      <c r="A150" s="3"/>
      <c r="B150" s="3"/>
      <c r="C150" s="3"/>
      <c r="D150" s="3"/>
      <c r="E150" s="3"/>
      <c r="F150" s="3"/>
      <c r="G150" s="13" t="str">
        <f t="shared" si="6"/>
        <v/>
      </c>
      <c r="H150" s="13" t="str">
        <f t="shared" si="7"/>
        <v/>
      </c>
      <c r="I150" s="13" t="str">
        <f t="shared" si="8"/>
        <v/>
      </c>
      <c r="J150" s="3"/>
      <c r="K150" s="3"/>
      <c r="L150" s="3"/>
      <c r="M150" s="3"/>
      <c r="N150" s="3"/>
      <c r="O150" s="3"/>
      <c r="P150" s="12"/>
      <c r="Q150" s="3"/>
      <c r="R150" s="3"/>
    </row>
    <row r="151" spans="1:18">
      <c r="A151" s="3"/>
      <c r="B151" s="3"/>
      <c r="C151" s="3"/>
      <c r="D151" s="3"/>
      <c r="E151" s="3"/>
      <c r="F151" s="3"/>
      <c r="G151" s="13" t="str">
        <f t="shared" si="6"/>
        <v/>
      </c>
      <c r="H151" s="13" t="str">
        <f t="shared" si="7"/>
        <v/>
      </c>
      <c r="I151" s="13" t="str">
        <f t="shared" si="8"/>
        <v/>
      </c>
      <c r="J151" s="3"/>
      <c r="K151" s="3"/>
      <c r="L151" s="3"/>
      <c r="M151" s="3"/>
      <c r="N151" s="3"/>
      <c r="O151" s="3"/>
      <c r="P151" s="12"/>
      <c r="Q151" s="3"/>
      <c r="R151" s="3"/>
    </row>
    <row r="152" spans="1:18">
      <c r="A152" s="3"/>
      <c r="B152" s="3"/>
      <c r="C152" s="3"/>
      <c r="D152" s="3"/>
      <c r="E152" s="3"/>
      <c r="F152" s="3"/>
      <c r="G152" s="13" t="str">
        <f t="shared" si="6"/>
        <v/>
      </c>
      <c r="H152" s="13" t="str">
        <f t="shared" si="7"/>
        <v/>
      </c>
      <c r="I152" s="13" t="str">
        <f t="shared" si="8"/>
        <v/>
      </c>
      <c r="J152" s="3"/>
      <c r="K152" s="3"/>
      <c r="L152" s="3"/>
      <c r="M152" s="3"/>
      <c r="N152" s="3"/>
      <c r="O152" s="3"/>
      <c r="P152" s="12"/>
      <c r="Q152" s="3"/>
      <c r="R152" s="3"/>
    </row>
    <row r="153" spans="1:18">
      <c r="A153" s="3"/>
      <c r="B153" s="3"/>
      <c r="C153" s="3"/>
      <c r="D153" s="3"/>
      <c r="E153" s="3"/>
      <c r="F153" s="3"/>
      <c r="G153" s="13" t="str">
        <f t="shared" si="6"/>
        <v/>
      </c>
      <c r="H153" s="13" t="str">
        <f t="shared" si="7"/>
        <v/>
      </c>
      <c r="I153" s="13" t="str">
        <f t="shared" si="8"/>
        <v/>
      </c>
      <c r="J153" s="3"/>
      <c r="K153" s="3"/>
      <c r="L153" s="3"/>
      <c r="M153" s="3"/>
      <c r="N153" s="3"/>
      <c r="O153" s="3"/>
      <c r="P153" s="12"/>
      <c r="Q153" s="3"/>
      <c r="R153" s="3"/>
    </row>
    <row r="154" spans="1:18">
      <c r="A154" s="3"/>
      <c r="B154" s="3"/>
      <c r="C154" s="3"/>
      <c r="D154" s="3"/>
      <c r="E154" s="3"/>
      <c r="F154" s="3"/>
      <c r="G154" s="13" t="str">
        <f t="shared" si="6"/>
        <v/>
      </c>
      <c r="H154" s="13" t="str">
        <f t="shared" si="7"/>
        <v/>
      </c>
      <c r="I154" s="13" t="str">
        <f t="shared" si="8"/>
        <v/>
      </c>
      <c r="J154" s="3"/>
      <c r="K154" s="3"/>
      <c r="L154" s="3"/>
      <c r="M154" s="3"/>
      <c r="N154" s="3"/>
      <c r="O154" s="3"/>
      <c r="P154" s="12"/>
      <c r="Q154" s="3"/>
      <c r="R154" s="3"/>
    </row>
    <row r="155" spans="1:18">
      <c r="A155" s="3"/>
      <c r="B155" s="3"/>
      <c r="C155" s="3"/>
      <c r="D155" s="3"/>
      <c r="E155" s="3"/>
      <c r="F155" s="3"/>
      <c r="G155" s="13" t="str">
        <f t="shared" si="6"/>
        <v/>
      </c>
      <c r="H155" s="13" t="str">
        <f t="shared" si="7"/>
        <v/>
      </c>
      <c r="I155" s="13" t="str">
        <f t="shared" si="8"/>
        <v/>
      </c>
      <c r="J155" s="3"/>
      <c r="K155" s="3"/>
      <c r="L155" s="3"/>
      <c r="M155" s="3"/>
      <c r="N155" s="3"/>
      <c r="O155" s="3"/>
      <c r="P155" s="12"/>
      <c r="Q155" s="3"/>
      <c r="R155" s="3"/>
    </row>
    <row r="156" spans="1:18">
      <c r="A156" s="3"/>
      <c r="B156" s="3"/>
      <c r="C156" s="3"/>
      <c r="D156" s="3"/>
      <c r="E156" s="3"/>
      <c r="F156" s="3"/>
      <c r="G156" s="13" t="str">
        <f t="shared" si="6"/>
        <v/>
      </c>
      <c r="H156" s="13" t="str">
        <f t="shared" si="7"/>
        <v/>
      </c>
      <c r="I156" s="13" t="str">
        <f t="shared" si="8"/>
        <v/>
      </c>
      <c r="J156" s="3"/>
      <c r="K156" s="3"/>
      <c r="L156" s="3"/>
      <c r="M156" s="3"/>
      <c r="N156" s="3"/>
      <c r="O156" s="3"/>
      <c r="P156" s="12"/>
      <c r="Q156" s="3"/>
      <c r="R156" s="3"/>
    </row>
    <row r="157" spans="1:18">
      <c r="A157" s="3"/>
      <c r="B157" s="3"/>
      <c r="C157" s="3"/>
      <c r="D157" s="3"/>
      <c r="E157" s="3"/>
      <c r="F157" s="3"/>
      <c r="G157" s="13" t="str">
        <f t="shared" si="6"/>
        <v/>
      </c>
      <c r="H157" s="13" t="str">
        <f t="shared" si="7"/>
        <v/>
      </c>
      <c r="I157" s="13" t="str">
        <f t="shared" si="8"/>
        <v/>
      </c>
      <c r="J157" s="3"/>
      <c r="K157" s="3"/>
      <c r="L157" s="3"/>
      <c r="M157" s="3"/>
      <c r="N157" s="3"/>
      <c r="O157" s="3"/>
      <c r="P157" s="12"/>
      <c r="Q157" s="3"/>
      <c r="R157" s="3"/>
    </row>
    <row r="158" spans="1:18">
      <c r="A158" s="3"/>
      <c r="B158" s="3"/>
      <c r="C158" s="3"/>
      <c r="D158" s="3"/>
      <c r="E158" s="3"/>
      <c r="F158" s="3"/>
      <c r="G158" s="13" t="str">
        <f t="shared" si="6"/>
        <v/>
      </c>
      <c r="H158" s="13" t="str">
        <f t="shared" si="7"/>
        <v/>
      </c>
      <c r="I158" s="13" t="str">
        <f t="shared" si="8"/>
        <v/>
      </c>
      <c r="J158" s="3"/>
      <c r="K158" s="3"/>
      <c r="L158" s="3"/>
      <c r="M158" s="3"/>
      <c r="N158" s="3"/>
      <c r="O158" s="3"/>
      <c r="P158" s="12"/>
      <c r="Q158" s="3"/>
      <c r="R158" s="3"/>
    </row>
    <row r="159" spans="1:18">
      <c r="A159" s="3"/>
      <c r="B159" s="3"/>
      <c r="C159" s="3"/>
      <c r="D159" s="3"/>
      <c r="E159" s="3"/>
      <c r="F159" s="3"/>
      <c r="G159" s="13" t="str">
        <f t="shared" si="6"/>
        <v/>
      </c>
      <c r="H159" s="13" t="str">
        <f t="shared" si="7"/>
        <v/>
      </c>
      <c r="I159" s="13" t="str">
        <f t="shared" si="8"/>
        <v/>
      </c>
      <c r="J159" s="3"/>
      <c r="K159" s="3"/>
      <c r="L159" s="3"/>
      <c r="M159" s="3"/>
      <c r="N159" s="3"/>
      <c r="O159" s="3"/>
      <c r="P159" s="12"/>
      <c r="Q159" s="3"/>
      <c r="R159" s="3"/>
    </row>
    <row r="160" spans="1:18">
      <c r="A160" s="3"/>
      <c r="B160" s="3"/>
      <c r="C160" s="3"/>
      <c r="D160" s="3"/>
      <c r="E160" s="3"/>
      <c r="F160" s="3"/>
      <c r="G160" s="13" t="str">
        <f t="shared" si="6"/>
        <v/>
      </c>
      <c r="H160" s="13" t="str">
        <f t="shared" si="7"/>
        <v/>
      </c>
      <c r="I160" s="13" t="str">
        <f t="shared" si="8"/>
        <v/>
      </c>
      <c r="J160" s="3"/>
      <c r="K160" s="3"/>
      <c r="L160" s="3"/>
      <c r="M160" s="3"/>
      <c r="N160" s="3"/>
      <c r="O160" s="3"/>
      <c r="P160" s="12"/>
      <c r="Q160" s="3"/>
      <c r="R160" s="3"/>
    </row>
    <row r="161" spans="1:18">
      <c r="A161" s="3"/>
      <c r="B161" s="3"/>
      <c r="C161" s="3"/>
      <c r="D161" s="3"/>
      <c r="E161" s="3"/>
      <c r="F161" s="3"/>
      <c r="G161" s="13" t="str">
        <f t="shared" si="6"/>
        <v/>
      </c>
      <c r="H161" s="13" t="str">
        <f t="shared" si="7"/>
        <v/>
      </c>
      <c r="I161" s="13" t="str">
        <f t="shared" si="8"/>
        <v/>
      </c>
      <c r="J161" s="3"/>
      <c r="K161" s="3"/>
      <c r="L161" s="3"/>
      <c r="M161" s="3"/>
      <c r="N161" s="3"/>
      <c r="O161" s="3"/>
      <c r="P161" s="12"/>
      <c r="Q161" s="3"/>
      <c r="R161" s="3"/>
    </row>
    <row r="162" spans="1:18">
      <c r="A162" s="3"/>
      <c r="B162" s="3"/>
      <c r="C162" s="3"/>
      <c r="D162" s="3"/>
      <c r="E162" s="3"/>
      <c r="F162" s="3"/>
      <c r="G162" s="13" t="str">
        <f t="shared" si="6"/>
        <v/>
      </c>
      <c r="H162" s="13" t="str">
        <f t="shared" si="7"/>
        <v/>
      </c>
      <c r="I162" s="13" t="str">
        <f t="shared" si="8"/>
        <v/>
      </c>
      <c r="J162" s="3"/>
      <c r="K162" s="3"/>
      <c r="L162" s="3"/>
      <c r="M162" s="3"/>
      <c r="N162" s="3"/>
      <c r="O162" s="3"/>
      <c r="P162" s="12"/>
      <c r="Q162" s="3"/>
      <c r="R162" s="3"/>
    </row>
    <row r="163" spans="1:18">
      <c r="A163" s="3"/>
      <c r="B163" s="3"/>
      <c r="C163" s="3"/>
      <c r="D163" s="3"/>
      <c r="E163" s="3"/>
      <c r="F163" s="3"/>
      <c r="G163" s="13" t="str">
        <f t="shared" si="6"/>
        <v/>
      </c>
      <c r="H163" s="13" t="str">
        <f t="shared" si="7"/>
        <v/>
      </c>
      <c r="I163" s="13" t="str">
        <f t="shared" si="8"/>
        <v/>
      </c>
      <c r="J163" s="3"/>
      <c r="K163" s="3"/>
      <c r="L163" s="3"/>
      <c r="M163" s="3"/>
      <c r="N163" s="3"/>
      <c r="O163" s="3"/>
      <c r="P163" s="12"/>
      <c r="Q163" s="3"/>
      <c r="R163" s="3"/>
    </row>
    <row r="164" spans="1:18">
      <c r="A164" s="3"/>
      <c r="B164" s="3"/>
      <c r="C164" s="3"/>
      <c r="D164" s="3"/>
      <c r="E164" s="3"/>
      <c r="F164" s="3"/>
      <c r="G164" s="13" t="str">
        <f t="shared" si="6"/>
        <v/>
      </c>
      <c r="H164" s="13" t="str">
        <f t="shared" si="7"/>
        <v/>
      </c>
      <c r="I164" s="13" t="str">
        <f t="shared" si="8"/>
        <v/>
      </c>
      <c r="J164" s="3"/>
      <c r="K164" s="3"/>
      <c r="L164" s="3"/>
      <c r="M164" s="3"/>
      <c r="N164" s="3"/>
      <c r="O164" s="3"/>
      <c r="P164" s="12"/>
      <c r="Q164" s="3"/>
      <c r="R164" s="3"/>
    </row>
    <row r="165" spans="1:18">
      <c r="A165" s="3"/>
      <c r="B165" s="3"/>
      <c r="C165" s="3"/>
      <c r="D165" s="3"/>
      <c r="E165" s="3"/>
      <c r="F165" s="3"/>
      <c r="G165" s="13" t="str">
        <f t="shared" si="6"/>
        <v/>
      </c>
      <c r="H165" s="13" t="str">
        <f t="shared" si="7"/>
        <v/>
      </c>
      <c r="I165" s="13" t="str">
        <f t="shared" si="8"/>
        <v/>
      </c>
      <c r="J165" s="3"/>
      <c r="K165" s="3"/>
      <c r="L165" s="3"/>
      <c r="M165" s="3"/>
      <c r="N165" s="3"/>
      <c r="O165" s="3"/>
      <c r="P165" s="12"/>
      <c r="Q165" s="3"/>
      <c r="R165" s="3"/>
    </row>
    <row r="166" spans="1:18">
      <c r="A166" s="3"/>
      <c r="B166" s="3"/>
      <c r="C166" s="3"/>
      <c r="D166" s="3"/>
      <c r="E166" s="3"/>
      <c r="F166" s="3"/>
      <c r="G166" s="13" t="str">
        <f t="shared" si="6"/>
        <v/>
      </c>
      <c r="H166" s="13" t="str">
        <f t="shared" si="7"/>
        <v/>
      </c>
      <c r="I166" s="13" t="str">
        <f t="shared" si="8"/>
        <v/>
      </c>
      <c r="J166" s="3"/>
      <c r="K166" s="3"/>
      <c r="L166" s="3"/>
      <c r="M166" s="3"/>
      <c r="N166" s="3"/>
      <c r="O166" s="3"/>
      <c r="P166" s="12"/>
      <c r="Q166" s="3"/>
      <c r="R166" s="3"/>
    </row>
    <row r="167" spans="1:18">
      <c r="A167" s="3"/>
      <c r="B167" s="3"/>
      <c r="C167" s="3"/>
      <c r="D167" s="3"/>
      <c r="E167" s="3"/>
      <c r="F167" s="3"/>
      <c r="G167" s="13" t="str">
        <f t="shared" si="6"/>
        <v/>
      </c>
      <c r="H167" s="13" t="str">
        <f t="shared" si="7"/>
        <v/>
      </c>
      <c r="I167" s="13" t="str">
        <f t="shared" si="8"/>
        <v/>
      </c>
      <c r="J167" s="3"/>
      <c r="K167" s="3"/>
      <c r="L167" s="3"/>
      <c r="M167" s="3"/>
      <c r="N167" s="3"/>
      <c r="O167" s="3"/>
      <c r="P167" s="12"/>
      <c r="Q167" s="3"/>
      <c r="R167" s="3"/>
    </row>
    <row r="168" spans="1:18">
      <c r="A168" s="3"/>
      <c r="B168" s="3"/>
      <c r="C168" s="3"/>
      <c r="D168" s="3"/>
      <c r="E168" s="3"/>
      <c r="F168" s="3"/>
      <c r="G168" s="13" t="str">
        <f t="shared" si="6"/>
        <v/>
      </c>
      <c r="H168" s="13" t="str">
        <f t="shared" si="7"/>
        <v/>
      </c>
      <c r="I168" s="13" t="str">
        <f t="shared" si="8"/>
        <v/>
      </c>
      <c r="J168" s="3"/>
      <c r="K168" s="3"/>
      <c r="L168" s="3"/>
      <c r="M168" s="3"/>
      <c r="N168" s="3"/>
      <c r="O168" s="3"/>
      <c r="P168" s="12"/>
      <c r="Q168" s="3"/>
      <c r="R168" s="3"/>
    </row>
    <row r="169" spans="1:18">
      <c r="A169" s="3"/>
      <c r="B169" s="3"/>
      <c r="C169" s="3"/>
      <c r="D169" s="3"/>
      <c r="E169" s="3"/>
      <c r="F169" s="3"/>
      <c r="G169" s="13" t="str">
        <f t="shared" si="6"/>
        <v/>
      </c>
      <c r="H169" s="13" t="str">
        <f t="shared" si="7"/>
        <v/>
      </c>
      <c r="I169" s="13" t="str">
        <f t="shared" si="8"/>
        <v/>
      </c>
      <c r="J169" s="3"/>
      <c r="K169" s="3"/>
      <c r="L169" s="3"/>
      <c r="M169" s="3"/>
      <c r="N169" s="3"/>
      <c r="O169" s="3"/>
      <c r="P169" s="12"/>
      <c r="Q169" s="3"/>
      <c r="R169" s="3"/>
    </row>
    <row r="170" spans="1:18">
      <c r="A170" s="3"/>
      <c r="B170" s="3"/>
      <c r="C170" s="3"/>
      <c r="D170" s="3"/>
      <c r="E170" s="3"/>
      <c r="F170" s="3"/>
      <c r="G170" s="13" t="str">
        <f t="shared" si="6"/>
        <v/>
      </c>
      <c r="H170" s="13" t="str">
        <f t="shared" si="7"/>
        <v/>
      </c>
      <c r="I170" s="13" t="str">
        <f t="shared" si="8"/>
        <v/>
      </c>
      <c r="J170" s="3"/>
      <c r="K170" s="3"/>
      <c r="L170" s="3"/>
      <c r="M170" s="3"/>
      <c r="N170" s="3"/>
      <c r="O170" s="3"/>
      <c r="P170" s="12"/>
      <c r="Q170" s="3"/>
      <c r="R170" s="3"/>
    </row>
    <row r="171" spans="1:18">
      <c r="A171" s="3"/>
      <c r="B171" s="3"/>
      <c r="C171" s="3"/>
      <c r="D171" s="3"/>
      <c r="E171" s="3"/>
      <c r="F171" s="3"/>
      <c r="G171" s="13" t="str">
        <f t="shared" si="6"/>
        <v/>
      </c>
      <c r="H171" s="13" t="str">
        <f t="shared" si="7"/>
        <v/>
      </c>
      <c r="I171" s="13" t="str">
        <f t="shared" si="8"/>
        <v/>
      </c>
      <c r="J171" s="3"/>
      <c r="K171" s="3"/>
      <c r="L171" s="3"/>
      <c r="M171" s="3"/>
      <c r="N171" s="3"/>
      <c r="O171" s="3"/>
      <c r="P171" s="12"/>
      <c r="Q171" s="3"/>
      <c r="R171" s="3"/>
    </row>
    <row r="172" spans="1:18">
      <c r="A172" s="3"/>
      <c r="B172" s="3"/>
      <c r="C172" s="3"/>
      <c r="D172" s="3"/>
      <c r="E172" s="3"/>
      <c r="F172" s="3"/>
      <c r="G172" s="13" t="str">
        <f t="shared" si="6"/>
        <v/>
      </c>
      <c r="H172" s="13" t="str">
        <f t="shared" si="7"/>
        <v/>
      </c>
      <c r="I172" s="13" t="str">
        <f t="shared" si="8"/>
        <v/>
      </c>
      <c r="J172" s="3"/>
      <c r="K172" s="3"/>
      <c r="L172" s="3"/>
      <c r="M172" s="3"/>
      <c r="N172" s="3"/>
      <c r="O172" s="3"/>
      <c r="P172" s="12"/>
      <c r="Q172" s="3"/>
      <c r="R172" s="3"/>
    </row>
    <row r="173" spans="1:18">
      <c r="A173" s="3"/>
      <c r="B173" s="3"/>
      <c r="C173" s="3"/>
      <c r="D173" s="3"/>
      <c r="E173" s="3"/>
      <c r="F173" s="3"/>
      <c r="G173" s="13" t="str">
        <f t="shared" si="6"/>
        <v/>
      </c>
      <c r="H173" s="13" t="str">
        <f t="shared" si="7"/>
        <v/>
      </c>
      <c r="I173" s="13" t="str">
        <f t="shared" si="8"/>
        <v/>
      </c>
      <c r="J173" s="3"/>
      <c r="K173" s="3"/>
      <c r="L173" s="3"/>
      <c r="M173" s="3"/>
      <c r="N173" s="3"/>
      <c r="O173" s="3"/>
      <c r="P173" s="12"/>
      <c r="Q173" s="3"/>
      <c r="R173" s="3"/>
    </row>
    <row r="174" spans="1:18">
      <c r="A174" s="3"/>
      <c r="B174" s="3"/>
      <c r="C174" s="3"/>
      <c r="D174" s="3"/>
      <c r="E174" s="3"/>
      <c r="F174" s="3"/>
      <c r="G174" s="13" t="str">
        <f t="shared" si="6"/>
        <v/>
      </c>
      <c r="H174" s="13" t="str">
        <f t="shared" si="7"/>
        <v/>
      </c>
      <c r="I174" s="13" t="str">
        <f t="shared" si="8"/>
        <v/>
      </c>
      <c r="J174" s="3"/>
      <c r="K174" s="3"/>
      <c r="L174" s="3"/>
      <c r="M174" s="3"/>
      <c r="N174" s="3"/>
      <c r="O174" s="3"/>
      <c r="P174" s="12"/>
      <c r="Q174" s="3"/>
      <c r="R174" s="3"/>
    </row>
    <row r="175" spans="1:18">
      <c r="A175" s="3"/>
      <c r="B175" s="3"/>
      <c r="C175" s="3"/>
      <c r="D175" s="3"/>
      <c r="E175" s="3"/>
      <c r="F175" s="3"/>
      <c r="G175" s="13" t="str">
        <f t="shared" si="6"/>
        <v/>
      </c>
      <c r="H175" s="13" t="str">
        <f t="shared" si="7"/>
        <v/>
      </c>
      <c r="I175" s="13" t="str">
        <f t="shared" si="8"/>
        <v/>
      </c>
      <c r="J175" s="3"/>
      <c r="K175" s="3"/>
      <c r="L175" s="3"/>
      <c r="M175" s="3"/>
      <c r="N175" s="3"/>
      <c r="O175" s="3"/>
      <c r="P175" s="12"/>
      <c r="Q175" s="3"/>
      <c r="R175" s="3"/>
    </row>
    <row r="176" spans="1:18">
      <c r="A176" s="3"/>
      <c r="B176" s="3"/>
      <c r="C176" s="3"/>
      <c r="D176" s="3"/>
      <c r="E176" s="3"/>
      <c r="F176" s="3"/>
      <c r="G176" s="13" t="str">
        <f t="shared" si="6"/>
        <v/>
      </c>
      <c r="H176" s="13" t="str">
        <f t="shared" si="7"/>
        <v/>
      </c>
      <c r="I176" s="13" t="str">
        <f t="shared" si="8"/>
        <v/>
      </c>
      <c r="J176" s="3"/>
      <c r="K176" s="3"/>
      <c r="L176" s="3"/>
      <c r="M176" s="3"/>
      <c r="N176" s="3"/>
      <c r="O176" s="3"/>
      <c r="P176" s="12"/>
      <c r="Q176" s="3"/>
      <c r="R176" s="3"/>
    </row>
    <row r="177" spans="1:18">
      <c r="A177" s="3"/>
      <c r="B177" s="3"/>
      <c r="C177" s="3"/>
      <c r="D177" s="3"/>
      <c r="E177" s="3"/>
      <c r="F177" s="3"/>
      <c r="G177" s="13" t="str">
        <f t="shared" si="6"/>
        <v/>
      </c>
      <c r="H177" s="13" t="str">
        <f t="shared" si="7"/>
        <v/>
      </c>
      <c r="I177" s="13" t="str">
        <f t="shared" si="8"/>
        <v/>
      </c>
      <c r="J177" s="3"/>
      <c r="K177" s="3"/>
      <c r="L177" s="3"/>
      <c r="M177" s="3"/>
      <c r="N177" s="3"/>
      <c r="O177" s="3"/>
      <c r="P177" s="12"/>
      <c r="Q177" s="3"/>
      <c r="R177" s="3"/>
    </row>
    <row r="178" spans="1:18">
      <c r="A178" s="3"/>
      <c r="B178" s="3"/>
      <c r="C178" s="3"/>
      <c r="D178" s="3"/>
      <c r="E178" s="3"/>
      <c r="F178" s="3"/>
      <c r="G178" s="13" t="str">
        <f t="shared" si="6"/>
        <v/>
      </c>
      <c r="H178" s="13" t="str">
        <f t="shared" si="7"/>
        <v/>
      </c>
      <c r="I178" s="13" t="str">
        <f t="shared" si="8"/>
        <v/>
      </c>
      <c r="J178" s="3"/>
      <c r="K178" s="3"/>
      <c r="L178" s="3"/>
      <c r="M178" s="3"/>
      <c r="N178" s="3"/>
      <c r="O178" s="3"/>
      <c r="P178" s="12"/>
      <c r="Q178" s="3"/>
      <c r="R178" s="3"/>
    </row>
    <row r="179" spans="1:18">
      <c r="A179" s="3"/>
      <c r="B179" s="3"/>
      <c r="C179" s="3"/>
      <c r="D179" s="3"/>
      <c r="E179" s="3"/>
      <c r="F179" s="3"/>
      <c r="G179" s="13" t="str">
        <f t="shared" si="6"/>
        <v/>
      </c>
      <c r="H179" s="13" t="str">
        <f t="shared" si="7"/>
        <v/>
      </c>
      <c r="I179" s="13" t="str">
        <f t="shared" si="8"/>
        <v/>
      </c>
      <c r="J179" s="3"/>
      <c r="K179" s="3"/>
      <c r="L179" s="3"/>
      <c r="M179" s="3"/>
      <c r="N179" s="3"/>
      <c r="O179" s="3"/>
      <c r="P179" s="12"/>
      <c r="Q179" s="3"/>
      <c r="R179" s="3"/>
    </row>
    <row r="180" spans="1:18">
      <c r="A180" s="3"/>
      <c r="B180" s="3"/>
      <c r="C180" s="3"/>
      <c r="D180" s="3"/>
      <c r="E180" s="3"/>
      <c r="F180" s="3"/>
      <c r="G180" s="13" t="str">
        <f t="shared" si="6"/>
        <v/>
      </c>
      <c r="H180" s="13" t="str">
        <f t="shared" si="7"/>
        <v/>
      </c>
      <c r="I180" s="13" t="str">
        <f t="shared" si="8"/>
        <v/>
      </c>
      <c r="J180" s="3"/>
      <c r="K180" s="3"/>
      <c r="L180" s="3"/>
      <c r="M180" s="3"/>
      <c r="N180" s="3"/>
      <c r="O180" s="3"/>
      <c r="P180" s="12"/>
      <c r="Q180" s="3"/>
      <c r="R180" s="3"/>
    </row>
    <row r="181" spans="1:18">
      <c r="A181" s="3"/>
      <c r="B181" s="3"/>
      <c r="C181" s="3"/>
      <c r="D181" s="3"/>
      <c r="E181" s="3"/>
      <c r="F181" s="3"/>
      <c r="G181" s="13" t="str">
        <f t="shared" si="6"/>
        <v/>
      </c>
      <c r="H181" s="13" t="str">
        <f t="shared" si="7"/>
        <v/>
      </c>
      <c r="I181" s="13" t="str">
        <f t="shared" si="8"/>
        <v/>
      </c>
      <c r="J181" s="3"/>
      <c r="K181" s="3"/>
      <c r="L181" s="3"/>
      <c r="M181" s="3"/>
      <c r="N181" s="3"/>
      <c r="O181" s="3"/>
      <c r="P181" s="12"/>
      <c r="Q181" s="3"/>
      <c r="R181" s="3"/>
    </row>
    <row r="182" spans="1:18">
      <c r="A182" s="3"/>
      <c r="B182" s="3"/>
      <c r="C182" s="3"/>
      <c r="D182" s="3"/>
      <c r="E182" s="3"/>
      <c r="F182" s="3"/>
      <c r="G182" s="13" t="str">
        <f t="shared" si="6"/>
        <v/>
      </c>
      <c r="H182" s="13" t="str">
        <f t="shared" si="7"/>
        <v/>
      </c>
      <c r="I182" s="13" t="str">
        <f t="shared" si="8"/>
        <v/>
      </c>
      <c r="J182" s="3"/>
      <c r="K182" s="3"/>
      <c r="L182" s="3"/>
      <c r="M182" s="3"/>
      <c r="N182" s="3"/>
      <c r="O182" s="3"/>
      <c r="P182" s="12"/>
      <c r="Q182" s="3"/>
      <c r="R182" s="3"/>
    </row>
    <row r="183" spans="1:18">
      <c r="A183" s="3"/>
      <c r="B183" s="3"/>
      <c r="C183" s="3"/>
      <c r="D183" s="3"/>
      <c r="E183" s="3"/>
      <c r="F183" s="3"/>
      <c r="G183" s="13" t="str">
        <f t="shared" si="6"/>
        <v/>
      </c>
      <c r="H183" s="13" t="str">
        <f t="shared" si="7"/>
        <v/>
      </c>
      <c r="I183" s="13" t="str">
        <f t="shared" si="8"/>
        <v/>
      </c>
      <c r="J183" s="3"/>
      <c r="K183" s="3"/>
      <c r="L183" s="3"/>
      <c r="M183" s="3"/>
      <c r="N183" s="3"/>
      <c r="O183" s="3"/>
      <c r="P183" s="12"/>
      <c r="Q183" s="3"/>
      <c r="R183" s="3"/>
    </row>
    <row r="184" spans="1:18">
      <c r="A184" s="3"/>
      <c r="B184" s="3"/>
      <c r="C184" s="3"/>
      <c r="D184" s="3"/>
      <c r="E184" s="3"/>
      <c r="F184" s="3"/>
      <c r="G184" s="13" t="str">
        <f t="shared" si="6"/>
        <v/>
      </c>
      <c r="H184" s="13" t="str">
        <f t="shared" si="7"/>
        <v/>
      </c>
      <c r="I184" s="13" t="str">
        <f t="shared" si="8"/>
        <v/>
      </c>
      <c r="J184" s="3"/>
      <c r="K184" s="3"/>
      <c r="L184" s="3"/>
      <c r="M184" s="3"/>
      <c r="N184" s="3"/>
      <c r="O184" s="3"/>
      <c r="P184" s="12"/>
      <c r="Q184" s="3"/>
      <c r="R184" s="3"/>
    </row>
    <row r="185" spans="1:18">
      <c r="A185" s="3"/>
      <c r="B185" s="3"/>
      <c r="C185" s="3"/>
      <c r="D185" s="3"/>
      <c r="E185" s="3"/>
      <c r="F185" s="3"/>
      <c r="G185" s="13" t="str">
        <f t="shared" si="6"/>
        <v/>
      </c>
      <c r="H185" s="13" t="str">
        <f t="shared" si="7"/>
        <v/>
      </c>
      <c r="I185" s="13" t="str">
        <f t="shared" si="8"/>
        <v/>
      </c>
      <c r="J185" s="3"/>
      <c r="K185" s="3"/>
      <c r="L185" s="3"/>
      <c r="M185" s="3"/>
      <c r="N185" s="3"/>
      <c r="O185" s="3"/>
      <c r="P185" s="12"/>
      <c r="Q185" s="3"/>
      <c r="R185" s="3"/>
    </row>
    <row r="186" spans="1:18">
      <c r="A186" s="3"/>
      <c r="B186" s="3"/>
      <c r="C186" s="3"/>
      <c r="D186" s="3"/>
      <c r="E186" s="3"/>
      <c r="F186" s="3"/>
      <c r="G186" s="13" t="str">
        <f t="shared" si="6"/>
        <v/>
      </c>
      <c r="H186" s="13" t="str">
        <f t="shared" si="7"/>
        <v/>
      </c>
      <c r="I186" s="13" t="str">
        <f t="shared" si="8"/>
        <v/>
      </c>
      <c r="J186" s="3"/>
      <c r="K186" s="3"/>
      <c r="L186" s="3"/>
      <c r="M186" s="3"/>
      <c r="N186" s="3"/>
      <c r="O186" s="3"/>
      <c r="P186" s="12"/>
      <c r="Q186" s="3"/>
      <c r="R186" s="3"/>
    </row>
    <row r="187" spans="1:18">
      <c r="A187" s="3"/>
      <c r="B187" s="3"/>
      <c r="C187" s="3"/>
      <c r="D187" s="3"/>
      <c r="E187" s="3"/>
      <c r="F187" s="3"/>
      <c r="G187" s="13" t="str">
        <f t="shared" si="6"/>
        <v/>
      </c>
      <c r="H187" s="13" t="str">
        <f t="shared" si="7"/>
        <v/>
      </c>
      <c r="I187" s="13" t="str">
        <f t="shared" si="8"/>
        <v/>
      </c>
      <c r="J187" s="3"/>
      <c r="K187" s="3"/>
      <c r="L187" s="3"/>
      <c r="M187" s="3"/>
      <c r="N187" s="3"/>
      <c r="O187" s="3"/>
      <c r="P187" s="12"/>
      <c r="Q187" s="3"/>
      <c r="R187" s="3"/>
    </row>
    <row r="188" spans="1:18">
      <c r="A188" s="3"/>
      <c r="B188" s="3"/>
      <c r="C188" s="3"/>
      <c r="D188" s="3"/>
      <c r="E188" s="3"/>
      <c r="F188" s="3"/>
      <c r="G188" s="13" t="str">
        <f t="shared" si="6"/>
        <v/>
      </c>
      <c r="H188" s="13" t="str">
        <f t="shared" si="7"/>
        <v/>
      </c>
      <c r="I188" s="13" t="str">
        <f t="shared" si="8"/>
        <v/>
      </c>
      <c r="J188" s="3"/>
      <c r="K188" s="3"/>
      <c r="L188" s="3"/>
      <c r="M188" s="3"/>
      <c r="N188" s="3"/>
      <c r="O188" s="3"/>
      <c r="P188" s="12"/>
      <c r="Q188" s="3"/>
      <c r="R188" s="3"/>
    </row>
    <row r="189" spans="1:18">
      <c r="A189" s="3"/>
      <c r="B189" s="3"/>
      <c r="C189" s="3"/>
      <c r="D189" s="3"/>
      <c r="E189" s="3"/>
      <c r="F189" s="3"/>
      <c r="G189" s="13" t="str">
        <f t="shared" si="6"/>
        <v/>
      </c>
      <c r="H189" s="13" t="str">
        <f t="shared" si="7"/>
        <v/>
      </c>
      <c r="I189" s="13" t="str">
        <f t="shared" si="8"/>
        <v/>
      </c>
      <c r="J189" s="3"/>
      <c r="K189" s="3"/>
      <c r="L189" s="3"/>
      <c r="M189" s="3"/>
      <c r="N189" s="3"/>
      <c r="O189" s="3"/>
      <c r="P189" s="12"/>
      <c r="Q189" s="3"/>
      <c r="R189" s="3"/>
    </row>
    <row r="190" spans="1:18">
      <c r="A190" s="3"/>
      <c r="B190" s="3"/>
      <c r="C190" s="3"/>
      <c r="D190" s="3"/>
      <c r="E190" s="3"/>
      <c r="F190" s="3"/>
      <c r="G190" s="13" t="str">
        <f t="shared" si="6"/>
        <v/>
      </c>
      <c r="H190" s="13" t="str">
        <f t="shared" si="7"/>
        <v/>
      </c>
      <c r="I190" s="13" t="str">
        <f t="shared" si="8"/>
        <v/>
      </c>
      <c r="J190" s="3"/>
      <c r="K190" s="3"/>
      <c r="L190" s="3"/>
      <c r="M190" s="3"/>
      <c r="N190" s="3"/>
      <c r="O190" s="3"/>
      <c r="P190" s="12"/>
      <c r="Q190" s="3"/>
      <c r="R190" s="3"/>
    </row>
    <row r="191" spans="1:18">
      <c r="A191" s="3"/>
      <c r="B191" s="3"/>
      <c r="C191" s="3"/>
      <c r="D191" s="3"/>
      <c r="E191" s="3"/>
      <c r="F191" s="3"/>
      <c r="G191" s="13" t="str">
        <f t="shared" si="6"/>
        <v/>
      </c>
      <c r="H191" s="13" t="str">
        <f t="shared" si="7"/>
        <v/>
      </c>
      <c r="I191" s="13" t="str">
        <f t="shared" si="8"/>
        <v/>
      </c>
      <c r="J191" s="3"/>
      <c r="K191" s="3"/>
      <c r="L191" s="3"/>
      <c r="M191" s="3"/>
      <c r="N191" s="3"/>
      <c r="O191" s="3"/>
      <c r="P191" s="12"/>
      <c r="Q191" s="3"/>
      <c r="R191" s="3"/>
    </row>
    <row r="192" spans="1:18">
      <c r="A192" s="3"/>
      <c r="B192" s="3"/>
      <c r="C192" s="3"/>
      <c r="D192" s="3"/>
      <c r="E192" s="3"/>
      <c r="F192" s="3"/>
      <c r="G192" s="13" t="str">
        <f t="shared" si="6"/>
        <v/>
      </c>
      <c r="H192" s="13" t="str">
        <f t="shared" si="7"/>
        <v/>
      </c>
      <c r="I192" s="13" t="str">
        <f t="shared" si="8"/>
        <v/>
      </c>
      <c r="J192" s="3"/>
      <c r="K192" s="3"/>
      <c r="L192" s="3"/>
      <c r="M192" s="3"/>
      <c r="N192" s="3"/>
      <c r="O192" s="3"/>
      <c r="P192" s="12"/>
      <c r="Q192" s="3"/>
      <c r="R192" s="3"/>
    </row>
    <row r="193" spans="1:18">
      <c r="A193" s="3"/>
      <c r="B193" s="3"/>
      <c r="C193" s="3"/>
      <c r="D193" s="3"/>
      <c r="E193" s="3"/>
      <c r="F193" s="3"/>
      <c r="G193" s="13" t="str">
        <f t="shared" si="6"/>
        <v/>
      </c>
      <c r="H193" s="13" t="str">
        <f t="shared" si="7"/>
        <v/>
      </c>
      <c r="I193" s="13" t="str">
        <f t="shared" si="8"/>
        <v/>
      </c>
      <c r="J193" s="3"/>
      <c r="K193" s="3"/>
      <c r="L193" s="3"/>
      <c r="M193" s="3"/>
      <c r="N193" s="3"/>
      <c r="O193" s="3"/>
      <c r="P193" s="12"/>
      <c r="Q193" s="3"/>
      <c r="R193" s="3"/>
    </row>
    <row r="194" spans="1:18">
      <c r="A194" s="3"/>
      <c r="B194" s="3"/>
      <c r="C194" s="3"/>
      <c r="D194" s="3"/>
      <c r="E194" s="3"/>
      <c r="F194" s="3"/>
      <c r="G194" s="13" t="str">
        <f t="shared" si="6"/>
        <v/>
      </c>
      <c r="H194" s="13" t="str">
        <f t="shared" si="7"/>
        <v/>
      </c>
      <c r="I194" s="13" t="str">
        <f t="shared" si="8"/>
        <v/>
      </c>
      <c r="J194" s="3"/>
      <c r="K194" s="3"/>
      <c r="L194" s="3"/>
      <c r="M194" s="3"/>
      <c r="N194" s="3"/>
      <c r="O194" s="3"/>
      <c r="P194" s="12"/>
      <c r="Q194" s="3"/>
      <c r="R194" s="3"/>
    </row>
    <row r="195" spans="1:18">
      <c r="A195" s="3"/>
      <c r="B195" s="3"/>
      <c r="C195" s="3"/>
      <c r="D195" s="3"/>
      <c r="E195" s="3"/>
      <c r="F195" s="3"/>
      <c r="G195" s="13" t="str">
        <f t="shared" ref="G195:G258" si="9">IF(E195="","",E195/5)</f>
        <v/>
      </c>
      <c r="H195" s="13" t="str">
        <f t="shared" ref="H195:H258" si="10">IF(E195="","",E195/6)</f>
        <v/>
      </c>
      <c r="I195" s="13" t="str">
        <f t="shared" ref="I195:I258" si="11">IF(E195="","",E195/7)</f>
        <v/>
      </c>
      <c r="J195" s="3"/>
      <c r="K195" s="3"/>
      <c r="L195" s="3"/>
      <c r="M195" s="3"/>
      <c r="N195" s="3"/>
      <c r="O195" s="3"/>
      <c r="P195" s="12"/>
      <c r="Q195" s="3"/>
      <c r="R195" s="3"/>
    </row>
    <row r="196" spans="1:18">
      <c r="A196" s="3"/>
      <c r="B196" s="3"/>
      <c r="C196" s="3"/>
      <c r="D196" s="3"/>
      <c r="E196" s="3"/>
      <c r="F196" s="3"/>
      <c r="G196" s="13" t="str">
        <f t="shared" si="9"/>
        <v/>
      </c>
      <c r="H196" s="13" t="str">
        <f t="shared" si="10"/>
        <v/>
      </c>
      <c r="I196" s="13" t="str">
        <f t="shared" si="11"/>
        <v/>
      </c>
      <c r="J196" s="3"/>
      <c r="K196" s="3"/>
      <c r="L196" s="3"/>
      <c r="M196" s="3"/>
      <c r="N196" s="3"/>
      <c r="O196" s="3"/>
      <c r="P196" s="12"/>
      <c r="Q196" s="3"/>
      <c r="R196" s="3"/>
    </row>
    <row r="197" spans="1:18">
      <c r="A197" s="3"/>
      <c r="B197" s="3"/>
      <c r="C197" s="3"/>
      <c r="D197" s="3"/>
      <c r="E197" s="3"/>
      <c r="F197" s="3"/>
      <c r="G197" s="13" t="str">
        <f t="shared" si="9"/>
        <v/>
      </c>
      <c r="H197" s="13" t="str">
        <f t="shared" si="10"/>
        <v/>
      </c>
      <c r="I197" s="13" t="str">
        <f t="shared" si="11"/>
        <v/>
      </c>
      <c r="J197" s="3"/>
      <c r="K197" s="3"/>
      <c r="L197" s="3"/>
      <c r="M197" s="3"/>
      <c r="N197" s="3"/>
      <c r="O197" s="3"/>
      <c r="P197" s="12"/>
      <c r="Q197" s="3"/>
      <c r="R197" s="3"/>
    </row>
    <row r="198" spans="1:18">
      <c r="A198" s="3"/>
      <c r="B198" s="3"/>
      <c r="C198" s="3"/>
      <c r="D198" s="3"/>
      <c r="E198" s="3"/>
      <c r="F198" s="3"/>
      <c r="G198" s="13" t="str">
        <f t="shared" si="9"/>
        <v/>
      </c>
      <c r="H198" s="13" t="str">
        <f t="shared" si="10"/>
        <v/>
      </c>
      <c r="I198" s="13" t="str">
        <f t="shared" si="11"/>
        <v/>
      </c>
      <c r="J198" s="3"/>
      <c r="K198" s="3"/>
      <c r="L198" s="3"/>
      <c r="M198" s="3"/>
      <c r="N198" s="3"/>
      <c r="O198" s="3"/>
      <c r="P198" s="12"/>
      <c r="Q198" s="3"/>
      <c r="R198" s="3"/>
    </row>
    <row r="199" spans="1:18">
      <c r="A199" s="3"/>
      <c r="B199" s="3"/>
      <c r="C199" s="3"/>
      <c r="D199" s="3"/>
      <c r="E199" s="3"/>
      <c r="F199" s="3"/>
      <c r="G199" s="13" t="str">
        <f t="shared" si="9"/>
        <v/>
      </c>
      <c r="H199" s="13" t="str">
        <f t="shared" si="10"/>
        <v/>
      </c>
      <c r="I199" s="13" t="str">
        <f t="shared" si="11"/>
        <v/>
      </c>
      <c r="J199" s="3"/>
      <c r="K199" s="3"/>
      <c r="L199" s="3"/>
      <c r="M199" s="3"/>
      <c r="N199" s="3"/>
      <c r="O199" s="3"/>
      <c r="P199" s="12"/>
      <c r="Q199" s="3"/>
      <c r="R199" s="3"/>
    </row>
    <row r="200" spans="1:18">
      <c r="A200" s="3"/>
      <c r="B200" s="3"/>
      <c r="C200" s="3"/>
      <c r="D200" s="3"/>
      <c r="E200" s="3"/>
      <c r="F200" s="3"/>
      <c r="G200" s="13" t="str">
        <f t="shared" si="9"/>
        <v/>
      </c>
      <c r="H200" s="13" t="str">
        <f t="shared" si="10"/>
        <v/>
      </c>
      <c r="I200" s="13" t="str">
        <f t="shared" si="11"/>
        <v/>
      </c>
      <c r="J200" s="3"/>
      <c r="K200" s="3"/>
      <c r="L200" s="3"/>
      <c r="M200" s="3"/>
      <c r="N200" s="3"/>
      <c r="O200" s="3"/>
      <c r="P200" s="12"/>
      <c r="Q200" s="3"/>
      <c r="R200" s="3"/>
    </row>
    <row r="201" spans="1:18">
      <c r="A201" s="3"/>
      <c r="B201" s="3"/>
      <c r="C201" s="3"/>
      <c r="D201" s="3"/>
      <c r="E201" s="3"/>
      <c r="F201" s="3"/>
      <c r="G201" s="13" t="str">
        <f t="shared" si="9"/>
        <v/>
      </c>
      <c r="H201" s="13" t="str">
        <f t="shared" si="10"/>
        <v/>
      </c>
      <c r="I201" s="13" t="str">
        <f t="shared" si="11"/>
        <v/>
      </c>
      <c r="J201" s="3"/>
      <c r="K201" s="3"/>
      <c r="L201" s="3"/>
      <c r="M201" s="3"/>
      <c r="N201" s="3"/>
      <c r="O201" s="3"/>
      <c r="P201" s="12"/>
      <c r="Q201" s="3"/>
      <c r="R201" s="3"/>
    </row>
    <row r="202" spans="1:18">
      <c r="A202" s="3"/>
      <c r="B202" s="3"/>
      <c r="C202" s="3"/>
      <c r="D202" s="3"/>
      <c r="E202" s="3"/>
      <c r="F202" s="3"/>
      <c r="G202" s="13" t="str">
        <f t="shared" si="9"/>
        <v/>
      </c>
      <c r="H202" s="13" t="str">
        <f t="shared" si="10"/>
        <v/>
      </c>
      <c r="I202" s="13" t="str">
        <f t="shared" si="11"/>
        <v/>
      </c>
      <c r="J202" s="3"/>
      <c r="K202" s="3"/>
      <c r="L202" s="3"/>
      <c r="M202" s="3"/>
      <c r="N202" s="3"/>
      <c r="O202" s="3"/>
      <c r="P202" s="12"/>
      <c r="Q202" s="3"/>
      <c r="R202" s="3"/>
    </row>
    <row r="203" spans="1:18">
      <c r="A203" s="3"/>
      <c r="B203" s="3"/>
      <c r="C203" s="3"/>
      <c r="D203" s="3"/>
      <c r="E203" s="3"/>
      <c r="F203" s="3"/>
      <c r="G203" s="13" t="str">
        <f t="shared" si="9"/>
        <v/>
      </c>
      <c r="H203" s="13" t="str">
        <f t="shared" si="10"/>
        <v/>
      </c>
      <c r="I203" s="13" t="str">
        <f t="shared" si="11"/>
        <v/>
      </c>
      <c r="J203" s="3"/>
      <c r="K203" s="3"/>
      <c r="L203" s="3"/>
      <c r="M203" s="3"/>
      <c r="N203" s="3"/>
      <c r="O203" s="3"/>
      <c r="P203" s="12"/>
      <c r="Q203" s="3"/>
      <c r="R203" s="3"/>
    </row>
    <row r="204" spans="1:18">
      <c r="A204" s="3"/>
      <c r="B204" s="3"/>
      <c r="C204" s="3"/>
      <c r="D204" s="3"/>
      <c r="E204" s="3"/>
      <c r="F204" s="3"/>
      <c r="G204" s="13" t="str">
        <f t="shared" si="9"/>
        <v/>
      </c>
      <c r="H204" s="13" t="str">
        <f t="shared" si="10"/>
        <v/>
      </c>
      <c r="I204" s="13" t="str">
        <f t="shared" si="11"/>
        <v/>
      </c>
      <c r="J204" s="3"/>
      <c r="K204" s="3"/>
      <c r="L204" s="3"/>
      <c r="M204" s="3"/>
      <c r="N204" s="3"/>
      <c r="O204" s="3"/>
      <c r="P204" s="12"/>
      <c r="Q204" s="3"/>
      <c r="R204" s="3"/>
    </row>
    <row r="205" spans="1:18">
      <c r="A205" s="3"/>
      <c r="B205" s="3"/>
      <c r="C205" s="3"/>
      <c r="D205" s="3"/>
      <c r="E205" s="3"/>
      <c r="F205" s="3"/>
      <c r="G205" s="13" t="str">
        <f t="shared" si="9"/>
        <v/>
      </c>
      <c r="H205" s="13" t="str">
        <f t="shared" si="10"/>
        <v/>
      </c>
      <c r="I205" s="13" t="str">
        <f t="shared" si="11"/>
        <v/>
      </c>
      <c r="J205" s="3"/>
      <c r="K205" s="3"/>
      <c r="L205" s="3"/>
      <c r="M205" s="3"/>
      <c r="N205" s="3"/>
      <c r="O205" s="3"/>
      <c r="P205" s="12"/>
      <c r="Q205" s="3"/>
      <c r="R205" s="3"/>
    </row>
    <row r="206" spans="1:18">
      <c r="A206" s="3"/>
      <c r="B206" s="3"/>
      <c r="C206" s="3"/>
      <c r="D206" s="3"/>
      <c r="E206" s="3"/>
      <c r="F206" s="3"/>
      <c r="G206" s="13" t="str">
        <f t="shared" si="9"/>
        <v/>
      </c>
      <c r="H206" s="13" t="str">
        <f t="shared" si="10"/>
        <v/>
      </c>
      <c r="I206" s="13" t="str">
        <f t="shared" si="11"/>
        <v/>
      </c>
      <c r="J206" s="3"/>
      <c r="K206" s="3"/>
      <c r="L206" s="3"/>
      <c r="M206" s="3"/>
      <c r="N206" s="3"/>
      <c r="O206" s="3"/>
      <c r="P206" s="12"/>
      <c r="Q206" s="3"/>
      <c r="R206" s="3"/>
    </row>
    <row r="207" spans="1:18">
      <c r="A207" s="3"/>
      <c r="B207" s="3"/>
      <c r="C207" s="3"/>
      <c r="D207" s="3"/>
      <c r="E207" s="3"/>
      <c r="F207" s="3"/>
      <c r="G207" s="13" t="str">
        <f t="shared" si="9"/>
        <v/>
      </c>
      <c r="H207" s="13" t="str">
        <f t="shared" si="10"/>
        <v/>
      </c>
      <c r="I207" s="13" t="str">
        <f t="shared" si="11"/>
        <v/>
      </c>
      <c r="J207" s="3"/>
      <c r="K207" s="3"/>
      <c r="L207" s="3"/>
      <c r="M207" s="3"/>
      <c r="N207" s="3"/>
      <c r="O207" s="3"/>
      <c r="P207" s="12"/>
      <c r="Q207" s="3"/>
      <c r="R207" s="3"/>
    </row>
    <row r="208" spans="1:18">
      <c r="A208" s="3"/>
      <c r="B208" s="3"/>
      <c r="C208" s="3"/>
      <c r="D208" s="3"/>
      <c r="E208" s="3"/>
      <c r="F208" s="3"/>
      <c r="G208" s="13" t="str">
        <f t="shared" si="9"/>
        <v/>
      </c>
      <c r="H208" s="13" t="str">
        <f t="shared" si="10"/>
        <v/>
      </c>
      <c r="I208" s="13" t="str">
        <f t="shared" si="11"/>
        <v/>
      </c>
      <c r="J208" s="3"/>
      <c r="K208" s="3"/>
      <c r="L208" s="3"/>
      <c r="M208" s="3"/>
      <c r="N208" s="3"/>
      <c r="O208" s="3"/>
      <c r="P208" s="12"/>
      <c r="Q208" s="3"/>
      <c r="R208" s="3"/>
    </row>
    <row r="209" spans="1:18">
      <c r="A209" s="3"/>
      <c r="B209" s="3"/>
      <c r="C209" s="3"/>
      <c r="D209" s="3"/>
      <c r="E209" s="3"/>
      <c r="F209" s="3"/>
      <c r="G209" s="13" t="str">
        <f t="shared" si="9"/>
        <v/>
      </c>
      <c r="H209" s="13" t="str">
        <f t="shared" si="10"/>
        <v/>
      </c>
      <c r="I209" s="13" t="str">
        <f t="shared" si="11"/>
        <v/>
      </c>
      <c r="J209" s="3"/>
      <c r="K209" s="3"/>
      <c r="L209" s="3"/>
      <c r="M209" s="3"/>
      <c r="N209" s="3"/>
      <c r="O209" s="3"/>
      <c r="P209" s="12"/>
      <c r="Q209" s="3"/>
      <c r="R209" s="3"/>
    </row>
    <row r="210" spans="1:18">
      <c r="A210" s="3"/>
      <c r="B210" s="3"/>
      <c r="C210" s="3"/>
      <c r="D210" s="3"/>
      <c r="E210" s="3"/>
      <c r="F210" s="3"/>
      <c r="G210" s="13" t="str">
        <f t="shared" si="9"/>
        <v/>
      </c>
      <c r="H210" s="13" t="str">
        <f t="shared" si="10"/>
        <v/>
      </c>
      <c r="I210" s="13" t="str">
        <f t="shared" si="11"/>
        <v/>
      </c>
      <c r="J210" s="3"/>
      <c r="K210" s="3"/>
      <c r="L210" s="3"/>
      <c r="M210" s="3"/>
      <c r="N210" s="3"/>
      <c r="O210" s="3"/>
      <c r="P210" s="12"/>
      <c r="Q210" s="3"/>
      <c r="R210" s="3"/>
    </row>
    <row r="211" spans="1:18">
      <c r="A211" s="3"/>
      <c r="B211" s="3"/>
      <c r="C211" s="3"/>
      <c r="D211" s="3"/>
      <c r="E211" s="3"/>
      <c r="F211" s="3"/>
      <c r="G211" s="13" t="str">
        <f t="shared" si="9"/>
        <v/>
      </c>
      <c r="H211" s="13" t="str">
        <f t="shared" si="10"/>
        <v/>
      </c>
      <c r="I211" s="13" t="str">
        <f t="shared" si="11"/>
        <v/>
      </c>
      <c r="J211" s="3"/>
      <c r="K211" s="3"/>
      <c r="L211" s="3"/>
      <c r="M211" s="3"/>
      <c r="N211" s="3"/>
      <c r="O211" s="3"/>
      <c r="P211" s="12"/>
      <c r="Q211" s="3"/>
      <c r="R211" s="3"/>
    </row>
    <row r="212" spans="1:18">
      <c r="A212" s="3"/>
      <c r="B212" s="3"/>
      <c r="C212" s="3"/>
      <c r="D212" s="3"/>
      <c r="E212" s="3"/>
      <c r="F212" s="3"/>
      <c r="G212" s="13" t="str">
        <f t="shared" si="9"/>
        <v/>
      </c>
      <c r="H212" s="13" t="str">
        <f t="shared" si="10"/>
        <v/>
      </c>
      <c r="I212" s="13" t="str">
        <f t="shared" si="11"/>
        <v/>
      </c>
      <c r="J212" s="3"/>
      <c r="K212" s="3"/>
      <c r="L212" s="3"/>
      <c r="M212" s="3"/>
      <c r="N212" s="3"/>
      <c r="O212" s="3"/>
      <c r="P212" s="12"/>
      <c r="Q212" s="3"/>
      <c r="R212" s="3"/>
    </row>
    <row r="213" spans="1:18">
      <c r="A213" s="3"/>
      <c r="B213" s="3"/>
      <c r="C213" s="3"/>
      <c r="D213" s="3"/>
      <c r="E213" s="3"/>
      <c r="F213" s="3"/>
      <c r="G213" s="13" t="str">
        <f t="shared" si="9"/>
        <v/>
      </c>
      <c r="H213" s="13" t="str">
        <f t="shared" si="10"/>
        <v/>
      </c>
      <c r="I213" s="13" t="str">
        <f t="shared" si="11"/>
        <v/>
      </c>
      <c r="J213" s="3"/>
      <c r="K213" s="3"/>
      <c r="L213" s="3"/>
      <c r="M213" s="3"/>
      <c r="N213" s="3"/>
      <c r="O213" s="3"/>
      <c r="P213" s="12"/>
      <c r="Q213" s="3"/>
      <c r="R213" s="3"/>
    </row>
    <row r="214" spans="1:18">
      <c r="A214" s="3"/>
      <c r="B214" s="3"/>
      <c r="C214" s="3"/>
      <c r="D214" s="3"/>
      <c r="E214" s="3"/>
      <c r="F214" s="3"/>
      <c r="G214" s="13" t="str">
        <f t="shared" si="9"/>
        <v/>
      </c>
      <c r="H214" s="13" t="str">
        <f t="shared" si="10"/>
        <v/>
      </c>
      <c r="I214" s="13" t="str">
        <f t="shared" si="11"/>
        <v/>
      </c>
      <c r="J214" s="3"/>
      <c r="K214" s="3"/>
      <c r="L214" s="3"/>
      <c r="M214" s="3"/>
      <c r="N214" s="3"/>
      <c r="O214" s="3"/>
      <c r="P214" s="12"/>
      <c r="Q214" s="3"/>
      <c r="R214" s="3"/>
    </row>
    <row r="215" spans="1:18">
      <c r="A215" s="3"/>
      <c r="B215" s="3"/>
      <c r="C215" s="3"/>
      <c r="D215" s="3"/>
      <c r="E215" s="3"/>
      <c r="F215" s="3"/>
      <c r="G215" s="13" t="str">
        <f t="shared" si="9"/>
        <v/>
      </c>
      <c r="H215" s="13" t="str">
        <f t="shared" si="10"/>
        <v/>
      </c>
      <c r="I215" s="13" t="str">
        <f t="shared" si="11"/>
        <v/>
      </c>
      <c r="J215" s="3"/>
      <c r="K215" s="3"/>
      <c r="L215" s="3"/>
      <c r="M215" s="3"/>
      <c r="N215" s="3"/>
      <c r="O215" s="3"/>
      <c r="P215" s="12"/>
      <c r="Q215" s="3"/>
      <c r="R215" s="3"/>
    </row>
    <row r="216" spans="1:18">
      <c r="A216" s="3"/>
      <c r="B216" s="3"/>
      <c r="C216" s="3"/>
      <c r="D216" s="3"/>
      <c r="E216" s="3"/>
      <c r="F216" s="3"/>
      <c r="G216" s="13" t="str">
        <f t="shared" si="9"/>
        <v/>
      </c>
      <c r="H216" s="13" t="str">
        <f t="shared" si="10"/>
        <v/>
      </c>
      <c r="I216" s="13" t="str">
        <f t="shared" si="11"/>
        <v/>
      </c>
      <c r="J216" s="3"/>
      <c r="K216" s="3"/>
      <c r="L216" s="3"/>
      <c r="M216" s="3"/>
      <c r="N216" s="3"/>
      <c r="O216" s="3"/>
      <c r="P216" s="12"/>
      <c r="Q216" s="3"/>
      <c r="R216" s="3"/>
    </row>
    <row r="217" spans="1:18">
      <c r="A217" s="3"/>
      <c r="B217" s="3"/>
      <c r="C217" s="3"/>
      <c r="D217" s="3"/>
      <c r="E217" s="3"/>
      <c r="F217" s="3"/>
      <c r="G217" s="13" t="str">
        <f t="shared" si="9"/>
        <v/>
      </c>
      <c r="H217" s="13" t="str">
        <f t="shared" si="10"/>
        <v/>
      </c>
      <c r="I217" s="13" t="str">
        <f t="shared" si="11"/>
        <v/>
      </c>
      <c r="J217" s="3"/>
      <c r="K217" s="3"/>
      <c r="L217" s="3"/>
      <c r="M217" s="3"/>
      <c r="N217" s="3"/>
      <c r="O217" s="3"/>
      <c r="P217" s="12"/>
      <c r="Q217" s="3"/>
      <c r="R217" s="3"/>
    </row>
    <row r="218" spans="1:18">
      <c r="A218" s="3"/>
      <c r="B218" s="3"/>
      <c r="C218" s="3"/>
      <c r="D218" s="3"/>
      <c r="E218" s="3"/>
      <c r="F218" s="3"/>
      <c r="G218" s="13" t="str">
        <f t="shared" si="9"/>
        <v/>
      </c>
      <c r="H218" s="13" t="str">
        <f t="shared" si="10"/>
        <v/>
      </c>
      <c r="I218" s="13" t="str">
        <f t="shared" si="11"/>
        <v/>
      </c>
      <c r="J218" s="3"/>
      <c r="K218" s="3"/>
      <c r="L218" s="3"/>
      <c r="M218" s="3"/>
      <c r="N218" s="3"/>
      <c r="O218" s="3"/>
      <c r="P218" s="12"/>
      <c r="Q218" s="3"/>
      <c r="R218" s="3"/>
    </row>
    <row r="219" spans="1:18">
      <c r="A219" s="3"/>
      <c r="B219" s="3"/>
      <c r="C219" s="3"/>
      <c r="D219" s="3"/>
      <c r="E219" s="3"/>
      <c r="F219" s="3"/>
      <c r="G219" s="13" t="str">
        <f t="shared" si="9"/>
        <v/>
      </c>
      <c r="H219" s="13" t="str">
        <f t="shared" si="10"/>
        <v/>
      </c>
      <c r="I219" s="13" t="str">
        <f t="shared" si="11"/>
        <v/>
      </c>
      <c r="J219" s="3"/>
      <c r="K219" s="3"/>
      <c r="L219" s="3"/>
      <c r="M219" s="3"/>
      <c r="N219" s="3"/>
      <c r="O219" s="3"/>
      <c r="P219" s="12"/>
      <c r="Q219" s="3"/>
      <c r="R219" s="3"/>
    </row>
    <row r="220" spans="1:18">
      <c r="A220" s="3"/>
      <c r="B220" s="3"/>
      <c r="C220" s="3"/>
      <c r="D220" s="3"/>
      <c r="E220" s="3"/>
      <c r="F220" s="3"/>
      <c r="G220" s="13" t="str">
        <f t="shared" si="9"/>
        <v/>
      </c>
      <c r="H220" s="13" t="str">
        <f t="shared" si="10"/>
        <v/>
      </c>
      <c r="I220" s="13" t="str">
        <f t="shared" si="11"/>
        <v/>
      </c>
      <c r="J220" s="3"/>
      <c r="K220" s="3"/>
      <c r="L220" s="3"/>
      <c r="M220" s="3"/>
      <c r="N220" s="3"/>
      <c r="O220" s="3"/>
      <c r="P220" s="12"/>
      <c r="Q220" s="3"/>
      <c r="R220" s="3"/>
    </row>
    <row r="221" spans="1:18">
      <c r="A221" s="3"/>
      <c r="B221" s="3"/>
      <c r="C221" s="3"/>
      <c r="D221" s="3"/>
      <c r="E221" s="3"/>
      <c r="F221" s="3"/>
      <c r="G221" s="13" t="str">
        <f t="shared" si="9"/>
        <v/>
      </c>
      <c r="H221" s="13" t="str">
        <f t="shared" si="10"/>
        <v/>
      </c>
      <c r="I221" s="13" t="str">
        <f t="shared" si="11"/>
        <v/>
      </c>
      <c r="J221" s="3"/>
      <c r="K221" s="3"/>
      <c r="L221" s="3"/>
      <c r="M221" s="3"/>
      <c r="N221" s="3"/>
      <c r="O221" s="3"/>
      <c r="P221" s="12"/>
      <c r="Q221" s="3"/>
      <c r="R221" s="3"/>
    </row>
    <row r="222" spans="1:18">
      <c r="A222" s="3"/>
      <c r="B222" s="3"/>
      <c r="C222" s="3"/>
      <c r="D222" s="3"/>
      <c r="E222" s="3"/>
      <c r="F222" s="3"/>
      <c r="G222" s="13" t="str">
        <f t="shared" si="9"/>
        <v/>
      </c>
      <c r="H222" s="13" t="str">
        <f t="shared" si="10"/>
        <v/>
      </c>
      <c r="I222" s="13" t="str">
        <f t="shared" si="11"/>
        <v/>
      </c>
      <c r="J222" s="3"/>
      <c r="K222" s="3"/>
      <c r="L222" s="3"/>
      <c r="M222" s="3"/>
      <c r="N222" s="3"/>
      <c r="O222" s="3"/>
      <c r="P222" s="12"/>
      <c r="Q222" s="3"/>
      <c r="R222" s="3"/>
    </row>
    <row r="223" spans="1:18">
      <c r="A223" s="3"/>
      <c r="B223" s="3"/>
      <c r="C223" s="3"/>
      <c r="D223" s="3"/>
      <c r="E223" s="3"/>
      <c r="F223" s="3"/>
      <c r="G223" s="13" t="str">
        <f t="shared" si="9"/>
        <v/>
      </c>
      <c r="H223" s="13" t="str">
        <f t="shared" si="10"/>
        <v/>
      </c>
      <c r="I223" s="13" t="str">
        <f t="shared" si="11"/>
        <v/>
      </c>
      <c r="J223" s="3"/>
      <c r="K223" s="3"/>
      <c r="L223" s="3"/>
      <c r="M223" s="3"/>
      <c r="N223" s="3"/>
      <c r="O223" s="3"/>
      <c r="P223" s="12"/>
      <c r="Q223" s="3"/>
      <c r="R223" s="3"/>
    </row>
    <row r="224" spans="1:18">
      <c r="A224" s="3"/>
      <c r="B224" s="3"/>
      <c r="C224" s="3"/>
      <c r="D224" s="3"/>
      <c r="E224" s="3"/>
      <c r="F224" s="3"/>
      <c r="G224" s="13" t="str">
        <f t="shared" si="9"/>
        <v/>
      </c>
      <c r="H224" s="13" t="str">
        <f t="shared" si="10"/>
        <v/>
      </c>
      <c r="I224" s="13" t="str">
        <f t="shared" si="11"/>
        <v/>
      </c>
      <c r="J224" s="3"/>
      <c r="K224" s="3"/>
      <c r="L224" s="3"/>
      <c r="M224" s="3"/>
      <c r="N224" s="3"/>
      <c r="O224" s="3"/>
      <c r="P224" s="12"/>
      <c r="Q224" s="3"/>
      <c r="R224" s="3"/>
    </row>
    <row r="225" spans="1:18">
      <c r="A225" s="3"/>
      <c r="B225" s="3"/>
      <c r="C225" s="3"/>
      <c r="D225" s="3"/>
      <c r="E225" s="3"/>
      <c r="F225" s="3"/>
      <c r="G225" s="13" t="str">
        <f t="shared" si="9"/>
        <v/>
      </c>
      <c r="H225" s="13" t="str">
        <f t="shared" si="10"/>
        <v/>
      </c>
      <c r="I225" s="13" t="str">
        <f t="shared" si="11"/>
        <v/>
      </c>
      <c r="J225" s="3"/>
      <c r="K225" s="3"/>
      <c r="L225" s="3"/>
      <c r="M225" s="3"/>
      <c r="N225" s="3"/>
      <c r="O225" s="3"/>
      <c r="P225" s="12"/>
      <c r="Q225" s="3"/>
      <c r="R225" s="3"/>
    </row>
    <row r="226" spans="1:18">
      <c r="A226" s="3"/>
      <c r="B226" s="3"/>
      <c r="C226" s="3"/>
      <c r="D226" s="3"/>
      <c r="E226" s="3"/>
      <c r="F226" s="3"/>
      <c r="G226" s="13" t="str">
        <f t="shared" si="9"/>
        <v/>
      </c>
      <c r="H226" s="13" t="str">
        <f t="shared" si="10"/>
        <v/>
      </c>
      <c r="I226" s="13" t="str">
        <f t="shared" si="11"/>
        <v/>
      </c>
      <c r="J226" s="3"/>
      <c r="K226" s="3"/>
      <c r="L226" s="3"/>
      <c r="M226" s="3"/>
      <c r="N226" s="3"/>
      <c r="O226" s="3"/>
      <c r="P226" s="12"/>
      <c r="Q226" s="3"/>
      <c r="R226" s="3"/>
    </row>
    <row r="227" spans="1:18">
      <c r="A227" s="3"/>
      <c r="B227" s="3"/>
      <c r="C227" s="3"/>
      <c r="D227" s="3"/>
      <c r="E227" s="3"/>
      <c r="F227" s="3"/>
      <c r="G227" s="13" t="str">
        <f t="shared" si="9"/>
        <v/>
      </c>
      <c r="H227" s="13" t="str">
        <f t="shared" si="10"/>
        <v/>
      </c>
      <c r="I227" s="13" t="str">
        <f t="shared" si="11"/>
        <v/>
      </c>
      <c r="J227" s="3"/>
      <c r="K227" s="3"/>
      <c r="L227" s="3"/>
      <c r="M227" s="3"/>
      <c r="N227" s="3"/>
      <c r="O227" s="3"/>
      <c r="P227" s="12"/>
      <c r="Q227" s="3"/>
      <c r="R227" s="3"/>
    </row>
    <row r="228" spans="1:18">
      <c r="A228" s="3"/>
      <c r="B228" s="3"/>
      <c r="C228" s="3"/>
      <c r="D228" s="3"/>
      <c r="E228" s="3"/>
      <c r="F228" s="3"/>
      <c r="G228" s="13" t="str">
        <f t="shared" si="9"/>
        <v/>
      </c>
      <c r="H228" s="13" t="str">
        <f t="shared" si="10"/>
        <v/>
      </c>
      <c r="I228" s="13" t="str">
        <f t="shared" si="11"/>
        <v/>
      </c>
      <c r="J228" s="3"/>
      <c r="K228" s="3"/>
      <c r="L228" s="3"/>
      <c r="M228" s="3"/>
      <c r="N228" s="3"/>
      <c r="O228" s="3"/>
      <c r="P228" s="12"/>
      <c r="Q228" s="3"/>
      <c r="R228" s="3"/>
    </row>
    <row r="229" spans="1:18">
      <c r="A229" s="3"/>
      <c r="B229" s="3"/>
      <c r="C229" s="3"/>
      <c r="D229" s="3"/>
      <c r="E229" s="3"/>
      <c r="F229" s="3"/>
      <c r="G229" s="13" t="str">
        <f t="shared" si="9"/>
        <v/>
      </c>
      <c r="H229" s="13" t="str">
        <f t="shared" si="10"/>
        <v/>
      </c>
      <c r="I229" s="13" t="str">
        <f t="shared" si="11"/>
        <v/>
      </c>
      <c r="J229" s="3"/>
      <c r="K229" s="3"/>
      <c r="L229" s="3"/>
      <c r="M229" s="3"/>
      <c r="N229" s="3"/>
      <c r="O229" s="3"/>
      <c r="P229" s="12"/>
      <c r="Q229" s="3"/>
      <c r="R229" s="3"/>
    </row>
    <row r="230" spans="1:18">
      <c r="A230" s="3"/>
      <c r="B230" s="3"/>
      <c r="C230" s="3"/>
      <c r="D230" s="3"/>
      <c r="E230" s="3"/>
      <c r="F230" s="3"/>
      <c r="G230" s="13" t="str">
        <f t="shared" si="9"/>
        <v/>
      </c>
      <c r="H230" s="13" t="str">
        <f t="shared" si="10"/>
        <v/>
      </c>
      <c r="I230" s="13" t="str">
        <f t="shared" si="11"/>
        <v/>
      </c>
      <c r="J230" s="3"/>
      <c r="K230" s="3"/>
      <c r="L230" s="3"/>
      <c r="M230" s="3"/>
      <c r="N230" s="3"/>
      <c r="O230" s="3"/>
      <c r="P230" s="12"/>
      <c r="Q230" s="3"/>
      <c r="R230" s="3"/>
    </row>
    <row r="231" spans="1:18">
      <c r="A231" s="3"/>
      <c r="B231" s="3"/>
      <c r="C231" s="3"/>
      <c r="D231" s="3"/>
      <c r="E231" s="3"/>
      <c r="F231" s="3"/>
      <c r="G231" s="13" t="str">
        <f t="shared" si="9"/>
        <v/>
      </c>
      <c r="H231" s="13" t="str">
        <f t="shared" si="10"/>
        <v/>
      </c>
      <c r="I231" s="13" t="str">
        <f t="shared" si="11"/>
        <v/>
      </c>
      <c r="J231" s="3"/>
      <c r="K231" s="3"/>
      <c r="L231" s="3"/>
      <c r="M231" s="3"/>
      <c r="N231" s="3"/>
      <c r="O231" s="3"/>
      <c r="P231" s="12"/>
      <c r="Q231" s="3"/>
      <c r="R231" s="3"/>
    </row>
    <row r="232" spans="1:18">
      <c r="A232" s="3"/>
      <c r="B232" s="3"/>
      <c r="C232" s="3"/>
      <c r="D232" s="3"/>
      <c r="E232" s="3"/>
      <c r="F232" s="3"/>
      <c r="G232" s="13" t="str">
        <f t="shared" si="9"/>
        <v/>
      </c>
      <c r="H232" s="13" t="str">
        <f t="shared" si="10"/>
        <v/>
      </c>
      <c r="I232" s="13" t="str">
        <f t="shared" si="11"/>
        <v/>
      </c>
      <c r="J232" s="3"/>
      <c r="K232" s="3"/>
      <c r="L232" s="3"/>
      <c r="M232" s="3"/>
      <c r="N232" s="3"/>
      <c r="O232" s="3"/>
      <c r="P232" s="12"/>
      <c r="Q232" s="3"/>
      <c r="R232" s="3"/>
    </row>
    <row r="233" spans="1:18">
      <c r="A233" s="3"/>
      <c r="B233" s="3"/>
      <c r="C233" s="3"/>
      <c r="D233" s="3"/>
      <c r="E233" s="3"/>
      <c r="F233" s="3"/>
      <c r="G233" s="13" t="str">
        <f t="shared" si="9"/>
        <v/>
      </c>
      <c r="H233" s="13" t="str">
        <f t="shared" si="10"/>
        <v/>
      </c>
      <c r="I233" s="13" t="str">
        <f t="shared" si="11"/>
        <v/>
      </c>
      <c r="J233" s="3"/>
      <c r="K233" s="3"/>
      <c r="L233" s="3"/>
      <c r="M233" s="3"/>
      <c r="N233" s="3"/>
      <c r="O233" s="3"/>
      <c r="P233" s="12"/>
      <c r="Q233" s="3"/>
      <c r="R233" s="3"/>
    </row>
    <row r="234" spans="1:18">
      <c r="A234" s="3"/>
      <c r="B234" s="3"/>
      <c r="C234" s="3"/>
      <c r="D234" s="3"/>
      <c r="E234" s="3"/>
      <c r="F234" s="3"/>
      <c r="G234" s="13" t="str">
        <f t="shared" si="9"/>
        <v/>
      </c>
      <c r="H234" s="13" t="str">
        <f t="shared" si="10"/>
        <v/>
      </c>
      <c r="I234" s="13" t="str">
        <f t="shared" si="11"/>
        <v/>
      </c>
      <c r="J234" s="3"/>
      <c r="K234" s="3"/>
      <c r="L234" s="3"/>
      <c r="M234" s="3"/>
      <c r="N234" s="3"/>
      <c r="O234" s="3"/>
      <c r="P234" s="12"/>
      <c r="Q234" s="3"/>
      <c r="R234" s="3"/>
    </row>
    <row r="235" spans="1:18">
      <c r="A235" s="3"/>
      <c r="B235" s="3"/>
      <c r="C235" s="3"/>
      <c r="D235" s="3"/>
      <c r="E235" s="3"/>
      <c r="F235" s="3"/>
      <c r="G235" s="13" t="str">
        <f t="shared" si="9"/>
        <v/>
      </c>
      <c r="H235" s="13" t="str">
        <f t="shared" si="10"/>
        <v/>
      </c>
      <c r="I235" s="13" t="str">
        <f t="shared" si="11"/>
        <v/>
      </c>
      <c r="J235" s="3"/>
      <c r="K235" s="3"/>
      <c r="L235" s="3"/>
      <c r="M235" s="3"/>
      <c r="N235" s="3"/>
      <c r="O235" s="3"/>
      <c r="P235" s="12"/>
      <c r="Q235" s="3"/>
      <c r="R235" s="3"/>
    </row>
    <row r="236" spans="1:18">
      <c r="A236" s="3"/>
      <c r="B236" s="3"/>
      <c r="C236" s="3"/>
      <c r="D236" s="3"/>
      <c r="E236" s="3"/>
      <c r="F236" s="3"/>
      <c r="G236" s="13" t="str">
        <f t="shared" si="9"/>
        <v/>
      </c>
      <c r="H236" s="13" t="str">
        <f t="shared" si="10"/>
        <v/>
      </c>
      <c r="I236" s="13" t="str">
        <f t="shared" si="11"/>
        <v/>
      </c>
      <c r="J236" s="3"/>
      <c r="K236" s="3"/>
      <c r="L236" s="3"/>
      <c r="M236" s="3"/>
      <c r="N236" s="3"/>
      <c r="O236" s="3"/>
      <c r="P236" s="12"/>
      <c r="Q236" s="3"/>
      <c r="R236" s="3"/>
    </row>
    <row r="237" spans="1:18">
      <c r="A237" s="3"/>
      <c r="B237" s="3"/>
      <c r="C237" s="3"/>
      <c r="D237" s="3"/>
      <c r="E237" s="3"/>
      <c r="F237" s="3"/>
      <c r="G237" s="13" t="str">
        <f t="shared" si="9"/>
        <v/>
      </c>
      <c r="H237" s="13" t="str">
        <f t="shared" si="10"/>
        <v/>
      </c>
      <c r="I237" s="13" t="str">
        <f t="shared" si="11"/>
        <v/>
      </c>
      <c r="J237" s="3"/>
      <c r="K237" s="3"/>
      <c r="L237" s="3"/>
      <c r="M237" s="3"/>
      <c r="N237" s="3"/>
      <c r="O237" s="3"/>
      <c r="P237" s="12"/>
      <c r="Q237" s="3"/>
      <c r="R237" s="3"/>
    </row>
    <row r="238" spans="1:18">
      <c r="A238" s="3"/>
      <c r="B238" s="3"/>
      <c r="C238" s="3"/>
      <c r="D238" s="3"/>
      <c r="E238" s="3"/>
      <c r="F238" s="3"/>
      <c r="G238" s="13" t="str">
        <f t="shared" si="9"/>
        <v/>
      </c>
      <c r="H238" s="13" t="str">
        <f t="shared" si="10"/>
        <v/>
      </c>
      <c r="I238" s="13" t="str">
        <f t="shared" si="11"/>
        <v/>
      </c>
      <c r="J238" s="3"/>
      <c r="K238" s="3"/>
      <c r="L238" s="3"/>
      <c r="M238" s="3"/>
      <c r="N238" s="3"/>
      <c r="O238" s="3"/>
      <c r="P238" s="12"/>
      <c r="Q238" s="3"/>
      <c r="R238" s="3"/>
    </row>
    <row r="239" spans="1:18">
      <c r="A239" s="3"/>
      <c r="B239" s="3"/>
      <c r="C239" s="3"/>
      <c r="D239" s="3"/>
      <c r="E239" s="3"/>
      <c r="F239" s="3"/>
      <c r="G239" s="13" t="str">
        <f t="shared" si="9"/>
        <v/>
      </c>
      <c r="H239" s="13" t="str">
        <f t="shared" si="10"/>
        <v/>
      </c>
      <c r="I239" s="13" t="str">
        <f t="shared" si="11"/>
        <v/>
      </c>
      <c r="J239" s="3"/>
      <c r="K239" s="3"/>
      <c r="L239" s="3"/>
      <c r="M239" s="3"/>
      <c r="N239" s="3"/>
      <c r="O239" s="3"/>
      <c r="P239" s="12"/>
      <c r="Q239" s="3"/>
      <c r="R239" s="3"/>
    </row>
    <row r="240" spans="1:18">
      <c r="A240" s="3"/>
      <c r="B240" s="3"/>
      <c r="C240" s="3"/>
      <c r="D240" s="3"/>
      <c r="E240" s="3"/>
      <c r="F240" s="3"/>
      <c r="G240" s="13" t="str">
        <f t="shared" si="9"/>
        <v/>
      </c>
      <c r="H240" s="13" t="str">
        <f t="shared" si="10"/>
        <v/>
      </c>
      <c r="I240" s="13" t="str">
        <f t="shared" si="11"/>
        <v/>
      </c>
      <c r="J240" s="3"/>
      <c r="K240" s="3"/>
      <c r="L240" s="3"/>
      <c r="M240" s="3"/>
      <c r="N240" s="3"/>
      <c r="O240" s="3"/>
      <c r="P240" s="12"/>
      <c r="Q240" s="3"/>
      <c r="R240" s="3"/>
    </row>
    <row r="241" spans="1:18">
      <c r="A241" s="3"/>
      <c r="B241" s="3"/>
      <c r="C241" s="3"/>
      <c r="D241" s="3"/>
      <c r="E241" s="3"/>
      <c r="F241" s="3"/>
      <c r="G241" s="13" t="str">
        <f t="shared" si="9"/>
        <v/>
      </c>
      <c r="H241" s="13" t="str">
        <f t="shared" si="10"/>
        <v/>
      </c>
      <c r="I241" s="13" t="str">
        <f t="shared" si="11"/>
        <v/>
      </c>
      <c r="J241" s="3"/>
      <c r="K241" s="3"/>
      <c r="L241" s="3"/>
      <c r="M241" s="3"/>
      <c r="N241" s="3"/>
      <c r="O241" s="3"/>
      <c r="P241" s="12"/>
      <c r="Q241" s="3"/>
      <c r="R241" s="3"/>
    </row>
    <row r="242" spans="1:18">
      <c r="A242" s="3"/>
      <c r="B242" s="3"/>
      <c r="C242" s="3"/>
      <c r="D242" s="3"/>
      <c r="E242" s="3"/>
      <c r="F242" s="3"/>
      <c r="G242" s="13" t="str">
        <f t="shared" si="9"/>
        <v/>
      </c>
      <c r="H242" s="13" t="str">
        <f t="shared" si="10"/>
        <v/>
      </c>
      <c r="I242" s="13" t="str">
        <f t="shared" si="11"/>
        <v/>
      </c>
      <c r="J242" s="3"/>
      <c r="K242" s="3"/>
      <c r="L242" s="3"/>
      <c r="M242" s="3"/>
      <c r="N242" s="3"/>
      <c r="O242" s="3"/>
      <c r="P242" s="12"/>
      <c r="Q242" s="3"/>
      <c r="R242" s="3"/>
    </row>
    <row r="243" spans="1:18">
      <c r="A243" s="3"/>
      <c r="B243" s="3"/>
      <c r="C243" s="3"/>
      <c r="D243" s="3"/>
      <c r="E243" s="3"/>
      <c r="F243" s="3"/>
      <c r="G243" s="13" t="str">
        <f t="shared" si="9"/>
        <v/>
      </c>
      <c r="H243" s="13" t="str">
        <f t="shared" si="10"/>
        <v/>
      </c>
      <c r="I243" s="13" t="str">
        <f t="shared" si="11"/>
        <v/>
      </c>
      <c r="J243" s="3"/>
      <c r="K243" s="3"/>
      <c r="L243" s="3"/>
      <c r="M243" s="3"/>
      <c r="N243" s="3"/>
      <c r="O243" s="3"/>
      <c r="P243" s="12"/>
      <c r="Q243" s="3"/>
      <c r="R243" s="3"/>
    </row>
    <row r="244" spans="1:18">
      <c r="A244" s="3"/>
      <c r="B244" s="3"/>
      <c r="C244" s="3"/>
      <c r="D244" s="3"/>
      <c r="E244" s="3"/>
      <c r="F244" s="3"/>
      <c r="G244" s="13" t="str">
        <f t="shared" si="9"/>
        <v/>
      </c>
      <c r="H244" s="13" t="str">
        <f t="shared" si="10"/>
        <v/>
      </c>
      <c r="I244" s="13" t="str">
        <f t="shared" si="11"/>
        <v/>
      </c>
      <c r="J244" s="3"/>
      <c r="K244" s="3"/>
      <c r="L244" s="3"/>
      <c r="M244" s="3"/>
      <c r="N244" s="3"/>
      <c r="O244" s="3"/>
      <c r="P244" s="12"/>
      <c r="Q244" s="3"/>
      <c r="R244" s="3"/>
    </row>
    <row r="245" spans="1:18">
      <c r="A245" s="3"/>
      <c r="B245" s="3"/>
      <c r="C245" s="3"/>
      <c r="D245" s="3"/>
      <c r="E245" s="3"/>
      <c r="F245" s="3"/>
      <c r="G245" s="13" t="str">
        <f t="shared" si="9"/>
        <v/>
      </c>
      <c r="H245" s="13" t="str">
        <f t="shared" si="10"/>
        <v/>
      </c>
      <c r="I245" s="13" t="str">
        <f t="shared" si="11"/>
        <v/>
      </c>
      <c r="J245" s="3"/>
      <c r="K245" s="3"/>
      <c r="L245" s="3"/>
      <c r="M245" s="3"/>
      <c r="N245" s="3"/>
      <c r="O245" s="3"/>
      <c r="P245" s="12"/>
      <c r="Q245" s="3"/>
      <c r="R245" s="3"/>
    </row>
    <row r="246" spans="1:18">
      <c r="A246" s="3"/>
      <c r="B246" s="3"/>
      <c r="C246" s="3"/>
      <c r="D246" s="3"/>
      <c r="E246" s="3"/>
      <c r="F246" s="3"/>
      <c r="G246" s="13" t="str">
        <f t="shared" si="9"/>
        <v/>
      </c>
      <c r="H246" s="13" t="str">
        <f t="shared" si="10"/>
        <v/>
      </c>
      <c r="I246" s="13" t="str">
        <f t="shared" si="11"/>
        <v/>
      </c>
      <c r="J246" s="3"/>
      <c r="K246" s="3"/>
      <c r="L246" s="3"/>
      <c r="M246" s="3"/>
      <c r="N246" s="3"/>
      <c r="O246" s="3"/>
      <c r="P246" s="12"/>
      <c r="Q246" s="3"/>
      <c r="R246" s="3"/>
    </row>
    <row r="247" spans="1:18">
      <c r="A247" s="3"/>
      <c r="B247" s="3"/>
      <c r="C247" s="3"/>
      <c r="D247" s="3"/>
      <c r="E247" s="3"/>
      <c r="F247" s="3"/>
      <c r="G247" s="13" t="str">
        <f t="shared" si="9"/>
        <v/>
      </c>
      <c r="H247" s="13" t="str">
        <f t="shared" si="10"/>
        <v/>
      </c>
      <c r="I247" s="13" t="str">
        <f t="shared" si="11"/>
        <v/>
      </c>
      <c r="J247" s="3"/>
      <c r="K247" s="3"/>
      <c r="L247" s="3"/>
      <c r="M247" s="3"/>
      <c r="N247" s="3"/>
      <c r="O247" s="3"/>
      <c r="P247" s="12"/>
      <c r="Q247" s="3"/>
      <c r="R247" s="3"/>
    </row>
    <row r="248" spans="1:18">
      <c r="A248" s="3"/>
      <c r="B248" s="3"/>
      <c r="C248" s="3"/>
      <c r="D248" s="3"/>
      <c r="E248" s="3"/>
      <c r="F248" s="3"/>
      <c r="G248" s="13" t="str">
        <f t="shared" si="9"/>
        <v/>
      </c>
      <c r="H248" s="13" t="str">
        <f t="shared" si="10"/>
        <v/>
      </c>
      <c r="I248" s="13" t="str">
        <f t="shared" si="11"/>
        <v/>
      </c>
      <c r="J248" s="3"/>
      <c r="K248" s="3"/>
      <c r="L248" s="3"/>
      <c r="M248" s="3"/>
      <c r="N248" s="3"/>
      <c r="O248" s="3"/>
      <c r="P248" s="12"/>
      <c r="Q248" s="3"/>
      <c r="R248" s="3"/>
    </row>
    <row r="249" spans="1:18">
      <c r="A249" s="3"/>
      <c r="B249" s="3"/>
      <c r="C249" s="3"/>
      <c r="D249" s="3"/>
      <c r="E249" s="3"/>
      <c r="F249" s="3"/>
      <c r="G249" s="13" t="str">
        <f t="shared" si="9"/>
        <v/>
      </c>
      <c r="H249" s="13" t="str">
        <f t="shared" si="10"/>
        <v/>
      </c>
      <c r="I249" s="13" t="str">
        <f t="shared" si="11"/>
        <v/>
      </c>
      <c r="J249" s="3"/>
      <c r="K249" s="3"/>
      <c r="L249" s="3"/>
      <c r="M249" s="3"/>
      <c r="N249" s="3"/>
      <c r="O249" s="3"/>
      <c r="P249" s="12"/>
      <c r="Q249" s="3"/>
      <c r="R249" s="3"/>
    </row>
    <row r="250" spans="1:18">
      <c r="A250" s="3"/>
      <c r="B250" s="3"/>
      <c r="C250" s="3"/>
      <c r="D250" s="3"/>
      <c r="E250" s="3"/>
      <c r="F250" s="3"/>
      <c r="G250" s="13" t="str">
        <f t="shared" si="9"/>
        <v/>
      </c>
      <c r="H250" s="13" t="str">
        <f t="shared" si="10"/>
        <v/>
      </c>
      <c r="I250" s="13" t="str">
        <f t="shared" si="11"/>
        <v/>
      </c>
      <c r="J250" s="3"/>
      <c r="K250" s="3"/>
      <c r="L250" s="3"/>
      <c r="M250" s="3"/>
      <c r="N250" s="3"/>
      <c r="O250" s="3"/>
      <c r="P250" s="12"/>
      <c r="Q250" s="3"/>
      <c r="R250" s="3"/>
    </row>
    <row r="251" spans="1:18">
      <c r="A251" s="3"/>
      <c r="B251" s="3"/>
      <c r="C251" s="3"/>
      <c r="D251" s="3"/>
      <c r="E251" s="3"/>
      <c r="F251" s="3"/>
      <c r="G251" s="13" t="str">
        <f t="shared" si="9"/>
        <v/>
      </c>
      <c r="H251" s="13" t="str">
        <f t="shared" si="10"/>
        <v/>
      </c>
      <c r="I251" s="13" t="str">
        <f t="shared" si="11"/>
        <v/>
      </c>
      <c r="J251" s="3"/>
      <c r="K251" s="3"/>
      <c r="L251" s="3"/>
      <c r="M251" s="3"/>
      <c r="N251" s="3"/>
      <c r="O251" s="3"/>
      <c r="P251" s="12"/>
      <c r="Q251" s="3"/>
      <c r="R251" s="3"/>
    </row>
    <row r="252" spans="1:18">
      <c r="A252" s="3"/>
      <c r="B252" s="3"/>
      <c r="C252" s="3"/>
      <c r="D252" s="3"/>
      <c r="E252" s="3"/>
      <c r="F252" s="3"/>
      <c r="G252" s="13" t="str">
        <f t="shared" si="9"/>
        <v/>
      </c>
      <c r="H252" s="13" t="str">
        <f t="shared" si="10"/>
        <v/>
      </c>
      <c r="I252" s="13" t="str">
        <f t="shared" si="11"/>
        <v/>
      </c>
      <c r="J252" s="3"/>
      <c r="K252" s="3"/>
      <c r="L252" s="3"/>
      <c r="M252" s="3"/>
      <c r="N252" s="3"/>
      <c r="O252" s="3"/>
      <c r="P252" s="12"/>
      <c r="Q252" s="3"/>
      <c r="R252" s="3"/>
    </row>
    <row r="253" spans="1:18">
      <c r="A253" s="3"/>
      <c r="B253" s="3"/>
      <c r="C253" s="3"/>
      <c r="D253" s="3"/>
      <c r="E253" s="3"/>
      <c r="F253" s="3"/>
      <c r="G253" s="13" t="str">
        <f t="shared" si="9"/>
        <v/>
      </c>
      <c r="H253" s="13" t="str">
        <f t="shared" si="10"/>
        <v/>
      </c>
      <c r="I253" s="13" t="str">
        <f t="shared" si="11"/>
        <v/>
      </c>
      <c r="J253" s="3"/>
      <c r="K253" s="3"/>
      <c r="L253" s="3"/>
      <c r="M253" s="3"/>
      <c r="N253" s="3"/>
      <c r="O253" s="3"/>
      <c r="P253" s="12"/>
      <c r="Q253" s="3"/>
      <c r="R253" s="3"/>
    </row>
    <row r="254" spans="1:18">
      <c r="A254" s="3"/>
      <c r="B254" s="3"/>
      <c r="C254" s="3"/>
      <c r="D254" s="3"/>
      <c r="E254" s="3"/>
      <c r="F254" s="3"/>
      <c r="G254" s="13" t="str">
        <f t="shared" si="9"/>
        <v/>
      </c>
      <c r="H254" s="13" t="str">
        <f t="shared" si="10"/>
        <v/>
      </c>
      <c r="I254" s="13" t="str">
        <f t="shared" si="11"/>
        <v/>
      </c>
      <c r="J254" s="3"/>
      <c r="K254" s="3"/>
      <c r="L254" s="3"/>
      <c r="M254" s="3"/>
      <c r="N254" s="3"/>
      <c r="O254" s="3"/>
      <c r="P254" s="12"/>
      <c r="Q254" s="3"/>
      <c r="R254" s="3"/>
    </row>
    <row r="255" spans="1:18">
      <c r="A255" s="3"/>
      <c r="B255" s="3"/>
      <c r="C255" s="3"/>
      <c r="D255" s="3"/>
      <c r="E255" s="3"/>
      <c r="F255" s="3"/>
      <c r="G255" s="13" t="str">
        <f t="shared" si="9"/>
        <v/>
      </c>
      <c r="H255" s="13" t="str">
        <f t="shared" si="10"/>
        <v/>
      </c>
      <c r="I255" s="13" t="str">
        <f t="shared" si="11"/>
        <v/>
      </c>
      <c r="J255" s="3"/>
      <c r="K255" s="3"/>
      <c r="L255" s="3"/>
      <c r="M255" s="3"/>
      <c r="N255" s="3"/>
      <c r="O255" s="3"/>
      <c r="P255" s="12"/>
      <c r="Q255" s="3"/>
      <c r="R255" s="3"/>
    </row>
    <row r="256" spans="1:18">
      <c r="A256" s="3"/>
      <c r="B256" s="3"/>
      <c r="C256" s="3"/>
      <c r="D256" s="3"/>
      <c r="E256" s="3"/>
      <c r="F256" s="3"/>
      <c r="G256" s="13" t="str">
        <f t="shared" si="9"/>
        <v/>
      </c>
      <c r="H256" s="13" t="str">
        <f t="shared" si="10"/>
        <v/>
      </c>
      <c r="I256" s="13" t="str">
        <f t="shared" si="11"/>
        <v/>
      </c>
      <c r="J256" s="3"/>
      <c r="K256" s="3"/>
      <c r="L256" s="3"/>
      <c r="M256" s="3"/>
      <c r="N256" s="3"/>
      <c r="O256" s="3"/>
      <c r="P256" s="12"/>
      <c r="Q256" s="3"/>
      <c r="R256" s="3"/>
    </row>
    <row r="257" spans="1:18">
      <c r="A257" s="3"/>
      <c r="B257" s="3"/>
      <c r="C257" s="3"/>
      <c r="D257" s="3"/>
      <c r="E257" s="3"/>
      <c r="F257" s="3"/>
      <c r="G257" s="13" t="str">
        <f t="shared" si="9"/>
        <v/>
      </c>
      <c r="H257" s="13" t="str">
        <f t="shared" si="10"/>
        <v/>
      </c>
      <c r="I257" s="13" t="str">
        <f t="shared" si="11"/>
        <v/>
      </c>
      <c r="J257" s="3"/>
      <c r="K257" s="3"/>
      <c r="L257" s="3"/>
      <c r="M257" s="3"/>
      <c r="N257" s="3"/>
      <c r="O257" s="3"/>
      <c r="P257" s="12"/>
      <c r="Q257" s="3"/>
      <c r="R257" s="3"/>
    </row>
    <row r="258" spans="1:18">
      <c r="A258" s="3"/>
      <c r="B258" s="3"/>
      <c r="C258" s="3"/>
      <c r="D258" s="3"/>
      <c r="E258" s="3"/>
      <c r="F258" s="3"/>
      <c r="G258" s="13" t="str">
        <f t="shared" si="9"/>
        <v/>
      </c>
      <c r="H258" s="13" t="str">
        <f t="shared" si="10"/>
        <v/>
      </c>
      <c r="I258" s="13" t="str">
        <f t="shared" si="11"/>
        <v/>
      </c>
      <c r="J258" s="3"/>
      <c r="K258" s="3"/>
      <c r="L258" s="3"/>
      <c r="M258" s="3"/>
      <c r="N258" s="3"/>
      <c r="O258" s="3"/>
      <c r="P258" s="12"/>
      <c r="Q258" s="3"/>
      <c r="R258" s="3"/>
    </row>
    <row r="259" spans="1:18">
      <c r="A259" s="3"/>
      <c r="B259" s="3"/>
      <c r="C259" s="3"/>
      <c r="D259" s="3"/>
      <c r="E259" s="3"/>
      <c r="F259" s="3"/>
      <c r="G259" s="13" t="str">
        <f t="shared" ref="G259:G322" si="12">IF(E259="","",E259/5)</f>
        <v/>
      </c>
      <c r="H259" s="13" t="str">
        <f t="shared" ref="H259:H322" si="13">IF(E259="","",E259/6)</f>
        <v/>
      </c>
      <c r="I259" s="13" t="str">
        <f t="shared" ref="I259:I322" si="14">IF(E259="","",E259/7)</f>
        <v/>
      </c>
      <c r="J259" s="3"/>
      <c r="K259" s="3"/>
      <c r="L259" s="3"/>
      <c r="M259" s="3"/>
      <c r="N259" s="3"/>
      <c r="O259" s="3"/>
      <c r="P259" s="12"/>
      <c r="Q259" s="3"/>
      <c r="R259" s="3"/>
    </row>
    <row r="260" spans="1:18">
      <c r="A260" s="3"/>
      <c r="B260" s="3"/>
      <c r="C260" s="3"/>
      <c r="D260" s="3"/>
      <c r="E260" s="3"/>
      <c r="F260" s="3"/>
      <c r="G260" s="13" t="str">
        <f t="shared" si="12"/>
        <v/>
      </c>
      <c r="H260" s="13" t="str">
        <f t="shared" si="13"/>
        <v/>
      </c>
      <c r="I260" s="13" t="str">
        <f t="shared" si="14"/>
        <v/>
      </c>
      <c r="J260" s="3"/>
      <c r="K260" s="3"/>
      <c r="L260" s="3"/>
      <c r="M260" s="3"/>
      <c r="N260" s="3"/>
      <c r="O260" s="3"/>
      <c r="P260" s="12"/>
      <c r="Q260" s="3"/>
      <c r="R260" s="3"/>
    </row>
    <row r="261" spans="1:18">
      <c r="A261" s="3"/>
      <c r="B261" s="3"/>
      <c r="C261" s="3"/>
      <c r="D261" s="3"/>
      <c r="E261" s="3"/>
      <c r="F261" s="3"/>
      <c r="G261" s="13" t="str">
        <f t="shared" si="12"/>
        <v/>
      </c>
      <c r="H261" s="13" t="str">
        <f t="shared" si="13"/>
        <v/>
      </c>
      <c r="I261" s="13" t="str">
        <f t="shared" si="14"/>
        <v/>
      </c>
      <c r="J261" s="3"/>
      <c r="K261" s="3"/>
      <c r="L261" s="3"/>
      <c r="M261" s="3"/>
      <c r="N261" s="3"/>
      <c r="O261" s="3"/>
      <c r="P261" s="12"/>
      <c r="Q261" s="3"/>
      <c r="R261" s="3"/>
    </row>
    <row r="262" spans="1:18">
      <c r="A262" s="3"/>
      <c r="B262" s="3"/>
      <c r="C262" s="3"/>
      <c r="D262" s="3"/>
      <c r="E262" s="3"/>
      <c r="F262" s="3"/>
      <c r="G262" s="13" t="str">
        <f t="shared" si="12"/>
        <v/>
      </c>
      <c r="H262" s="13" t="str">
        <f t="shared" si="13"/>
        <v/>
      </c>
      <c r="I262" s="13" t="str">
        <f t="shared" si="14"/>
        <v/>
      </c>
      <c r="J262" s="3"/>
      <c r="K262" s="3"/>
      <c r="L262" s="3"/>
      <c r="M262" s="3"/>
      <c r="N262" s="3"/>
      <c r="O262" s="3"/>
      <c r="P262" s="12"/>
      <c r="Q262" s="3"/>
      <c r="R262" s="3"/>
    </row>
    <row r="263" spans="1:18">
      <c r="A263" s="3"/>
      <c r="B263" s="3"/>
      <c r="C263" s="3"/>
      <c r="D263" s="3"/>
      <c r="E263" s="3"/>
      <c r="F263" s="3"/>
      <c r="G263" s="13" t="str">
        <f t="shared" si="12"/>
        <v/>
      </c>
      <c r="H263" s="13" t="str">
        <f t="shared" si="13"/>
        <v/>
      </c>
      <c r="I263" s="13" t="str">
        <f t="shared" si="14"/>
        <v/>
      </c>
      <c r="J263" s="3"/>
      <c r="K263" s="3"/>
      <c r="L263" s="3"/>
      <c r="M263" s="3"/>
      <c r="N263" s="3"/>
      <c r="O263" s="3"/>
      <c r="P263" s="12"/>
      <c r="Q263" s="3"/>
      <c r="R263" s="3"/>
    </row>
    <row r="264" spans="1:18">
      <c r="A264" s="3"/>
      <c r="B264" s="3"/>
      <c r="C264" s="3"/>
      <c r="D264" s="3"/>
      <c r="E264" s="3"/>
      <c r="F264" s="3"/>
      <c r="G264" s="13" t="str">
        <f t="shared" si="12"/>
        <v/>
      </c>
      <c r="H264" s="13" t="str">
        <f t="shared" si="13"/>
        <v/>
      </c>
      <c r="I264" s="13" t="str">
        <f t="shared" si="14"/>
        <v/>
      </c>
      <c r="J264" s="3"/>
      <c r="K264" s="3"/>
      <c r="L264" s="3"/>
      <c r="M264" s="3"/>
      <c r="N264" s="3"/>
      <c r="O264" s="3"/>
      <c r="P264" s="12"/>
      <c r="Q264" s="3"/>
      <c r="R264" s="3"/>
    </row>
    <row r="265" spans="1:18">
      <c r="A265" s="3"/>
      <c r="B265" s="3"/>
      <c r="C265" s="3"/>
      <c r="D265" s="3"/>
      <c r="E265" s="3"/>
      <c r="F265" s="3"/>
      <c r="G265" s="13" t="str">
        <f t="shared" si="12"/>
        <v/>
      </c>
      <c r="H265" s="13" t="str">
        <f t="shared" si="13"/>
        <v/>
      </c>
      <c r="I265" s="13" t="str">
        <f t="shared" si="14"/>
        <v/>
      </c>
      <c r="J265" s="3"/>
      <c r="K265" s="3"/>
      <c r="L265" s="3"/>
      <c r="M265" s="3"/>
      <c r="N265" s="3"/>
      <c r="O265" s="3"/>
      <c r="P265" s="12"/>
      <c r="Q265" s="3"/>
      <c r="R265" s="3"/>
    </row>
    <row r="266" spans="1:18">
      <c r="A266" s="3"/>
      <c r="B266" s="3"/>
      <c r="C266" s="3"/>
      <c r="D266" s="3"/>
      <c r="E266" s="3"/>
      <c r="F266" s="3"/>
      <c r="G266" s="13" t="str">
        <f t="shared" si="12"/>
        <v/>
      </c>
      <c r="H266" s="13" t="str">
        <f t="shared" si="13"/>
        <v/>
      </c>
      <c r="I266" s="13" t="str">
        <f t="shared" si="14"/>
        <v/>
      </c>
      <c r="J266" s="3"/>
      <c r="K266" s="3"/>
      <c r="L266" s="3"/>
      <c r="M266" s="3"/>
      <c r="N266" s="3"/>
      <c r="O266" s="3"/>
      <c r="P266" s="12"/>
      <c r="Q266" s="3"/>
      <c r="R266" s="3"/>
    </row>
    <row r="267" spans="1:18">
      <c r="A267" s="3"/>
      <c r="B267" s="3"/>
      <c r="C267" s="3"/>
      <c r="D267" s="3"/>
      <c r="E267" s="3"/>
      <c r="F267" s="3"/>
      <c r="G267" s="13" t="str">
        <f t="shared" si="12"/>
        <v/>
      </c>
      <c r="H267" s="13" t="str">
        <f t="shared" si="13"/>
        <v/>
      </c>
      <c r="I267" s="13" t="str">
        <f t="shared" si="14"/>
        <v/>
      </c>
      <c r="J267" s="3"/>
      <c r="K267" s="3"/>
      <c r="L267" s="3"/>
      <c r="M267" s="3"/>
      <c r="N267" s="3"/>
      <c r="O267" s="3"/>
      <c r="P267" s="12"/>
      <c r="Q267" s="3"/>
      <c r="R267" s="3"/>
    </row>
    <row r="268" spans="1:18">
      <c r="A268" s="3"/>
      <c r="B268" s="3"/>
      <c r="C268" s="3"/>
      <c r="D268" s="3"/>
      <c r="E268" s="3"/>
      <c r="F268" s="3"/>
      <c r="G268" s="13" t="str">
        <f t="shared" si="12"/>
        <v/>
      </c>
      <c r="H268" s="13" t="str">
        <f t="shared" si="13"/>
        <v/>
      </c>
      <c r="I268" s="13" t="str">
        <f t="shared" si="14"/>
        <v/>
      </c>
      <c r="J268" s="3"/>
      <c r="K268" s="3"/>
      <c r="L268" s="3"/>
      <c r="M268" s="3"/>
      <c r="N268" s="3"/>
      <c r="O268" s="3"/>
      <c r="P268" s="12"/>
      <c r="Q268" s="3"/>
      <c r="R268" s="3"/>
    </row>
    <row r="269" spans="1:18">
      <c r="A269" s="3"/>
      <c r="B269" s="3"/>
      <c r="C269" s="3"/>
      <c r="D269" s="3"/>
      <c r="E269" s="3"/>
      <c r="F269" s="3"/>
      <c r="G269" s="13" t="str">
        <f t="shared" si="12"/>
        <v/>
      </c>
      <c r="H269" s="13" t="str">
        <f t="shared" si="13"/>
        <v/>
      </c>
      <c r="I269" s="13" t="str">
        <f t="shared" si="14"/>
        <v/>
      </c>
      <c r="J269" s="3"/>
      <c r="K269" s="3"/>
      <c r="L269" s="3"/>
      <c r="M269" s="3"/>
      <c r="N269" s="3"/>
      <c r="O269" s="3"/>
      <c r="P269" s="12"/>
      <c r="Q269" s="3"/>
      <c r="R269" s="3"/>
    </row>
    <row r="270" spans="1:18">
      <c r="A270" s="3"/>
      <c r="B270" s="3"/>
      <c r="C270" s="3"/>
      <c r="D270" s="3"/>
      <c r="E270" s="3"/>
      <c r="F270" s="3"/>
      <c r="G270" s="13" t="str">
        <f t="shared" si="12"/>
        <v/>
      </c>
      <c r="H270" s="13" t="str">
        <f t="shared" si="13"/>
        <v/>
      </c>
      <c r="I270" s="13" t="str">
        <f t="shared" si="14"/>
        <v/>
      </c>
      <c r="J270" s="3"/>
      <c r="K270" s="3"/>
      <c r="L270" s="3"/>
      <c r="M270" s="3"/>
      <c r="N270" s="3"/>
      <c r="O270" s="3"/>
      <c r="P270" s="12"/>
      <c r="Q270" s="3"/>
      <c r="R270" s="3"/>
    </row>
    <row r="271" spans="1:18">
      <c r="A271" s="3"/>
      <c r="B271" s="3"/>
      <c r="C271" s="3"/>
      <c r="D271" s="3"/>
      <c r="E271" s="3"/>
      <c r="F271" s="3"/>
      <c r="G271" s="13" t="str">
        <f t="shared" si="12"/>
        <v/>
      </c>
      <c r="H271" s="13" t="str">
        <f t="shared" si="13"/>
        <v/>
      </c>
      <c r="I271" s="13" t="str">
        <f t="shared" si="14"/>
        <v/>
      </c>
      <c r="J271" s="3"/>
      <c r="K271" s="3"/>
      <c r="L271" s="3"/>
      <c r="M271" s="3"/>
      <c r="N271" s="3"/>
      <c r="O271" s="3"/>
      <c r="P271" s="12"/>
      <c r="Q271" s="3"/>
      <c r="R271" s="3"/>
    </row>
    <row r="272" spans="1:18">
      <c r="A272" s="3"/>
      <c r="B272" s="3"/>
      <c r="C272" s="3"/>
      <c r="D272" s="3"/>
      <c r="E272" s="3"/>
      <c r="F272" s="3"/>
      <c r="G272" s="13" t="str">
        <f t="shared" si="12"/>
        <v/>
      </c>
      <c r="H272" s="13" t="str">
        <f t="shared" si="13"/>
        <v/>
      </c>
      <c r="I272" s="13" t="str">
        <f t="shared" si="14"/>
        <v/>
      </c>
      <c r="J272" s="3"/>
      <c r="K272" s="3"/>
      <c r="L272" s="3"/>
      <c r="M272" s="3"/>
      <c r="N272" s="3"/>
      <c r="O272" s="3"/>
      <c r="P272" s="12"/>
      <c r="Q272" s="3"/>
      <c r="R272" s="3"/>
    </row>
    <row r="273" spans="1:18">
      <c r="A273" s="3"/>
      <c r="B273" s="3"/>
      <c r="C273" s="3"/>
      <c r="D273" s="3"/>
      <c r="E273" s="3"/>
      <c r="F273" s="3"/>
      <c r="G273" s="13" t="str">
        <f t="shared" si="12"/>
        <v/>
      </c>
      <c r="H273" s="13" t="str">
        <f t="shared" si="13"/>
        <v/>
      </c>
      <c r="I273" s="13" t="str">
        <f t="shared" si="14"/>
        <v/>
      </c>
      <c r="J273" s="3"/>
      <c r="K273" s="3"/>
      <c r="L273" s="3"/>
      <c r="M273" s="3"/>
      <c r="N273" s="3"/>
      <c r="O273" s="3"/>
      <c r="P273" s="12"/>
      <c r="Q273" s="3"/>
      <c r="R273" s="3"/>
    </row>
    <row r="274" spans="1:18">
      <c r="A274" s="3"/>
      <c r="B274" s="3"/>
      <c r="C274" s="3"/>
      <c r="D274" s="3"/>
      <c r="E274" s="3"/>
      <c r="F274" s="3"/>
      <c r="G274" s="13" t="str">
        <f t="shared" si="12"/>
        <v/>
      </c>
      <c r="H274" s="13" t="str">
        <f t="shared" si="13"/>
        <v/>
      </c>
      <c r="I274" s="13" t="str">
        <f t="shared" si="14"/>
        <v/>
      </c>
      <c r="J274" s="3"/>
      <c r="K274" s="3"/>
      <c r="L274" s="3"/>
      <c r="M274" s="3"/>
      <c r="N274" s="3"/>
      <c r="O274" s="3"/>
      <c r="P274" s="12"/>
      <c r="Q274" s="3"/>
      <c r="R274" s="3"/>
    </row>
    <row r="275" spans="1:18">
      <c r="A275" s="3"/>
      <c r="B275" s="3"/>
      <c r="C275" s="3"/>
      <c r="D275" s="3"/>
      <c r="E275" s="3"/>
      <c r="F275" s="3"/>
      <c r="G275" s="13" t="str">
        <f t="shared" si="12"/>
        <v/>
      </c>
      <c r="H275" s="13" t="str">
        <f t="shared" si="13"/>
        <v/>
      </c>
      <c r="I275" s="13" t="str">
        <f t="shared" si="14"/>
        <v/>
      </c>
      <c r="J275" s="3"/>
      <c r="K275" s="3"/>
      <c r="L275" s="3"/>
      <c r="M275" s="3"/>
      <c r="N275" s="3"/>
      <c r="O275" s="3"/>
      <c r="P275" s="12"/>
      <c r="Q275" s="3"/>
      <c r="R275" s="3"/>
    </row>
    <row r="276" spans="1:18">
      <c r="A276" s="3"/>
      <c r="B276" s="3"/>
      <c r="C276" s="3"/>
      <c r="D276" s="3"/>
      <c r="E276" s="3"/>
      <c r="F276" s="3"/>
      <c r="G276" s="13" t="str">
        <f t="shared" si="12"/>
        <v/>
      </c>
      <c r="H276" s="13" t="str">
        <f t="shared" si="13"/>
        <v/>
      </c>
      <c r="I276" s="13" t="str">
        <f t="shared" si="14"/>
        <v/>
      </c>
      <c r="J276" s="3"/>
      <c r="K276" s="3"/>
      <c r="L276" s="3"/>
      <c r="M276" s="3"/>
      <c r="N276" s="3"/>
      <c r="O276" s="3"/>
      <c r="P276" s="12"/>
      <c r="Q276" s="3"/>
      <c r="R276" s="3"/>
    </row>
    <row r="277" spans="1:18">
      <c r="A277" s="3"/>
      <c r="B277" s="3"/>
      <c r="C277" s="3"/>
      <c r="D277" s="3"/>
      <c r="E277" s="3"/>
      <c r="F277" s="3"/>
      <c r="G277" s="13" t="str">
        <f t="shared" si="12"/>
        <v/>
      </c>
      <c r="H277" s="13" t="str">
        <f t="shared" si="13"/>
        <v/>
      </c>
      <c r="I277" s="13" t="str">
        <f t="shared" si="14"/>
        <v/>
      </c>
      <c r="J277" s="3"/>
      <c r="K277" s="3"/>
      <c r="L277" s="3"/>
      <c r="M277" s="3"/>
      <c r="N277" s="3"/>
      <c r="O277" s="3"/>
      <c r="P277" s="12"/>
      <c r="Q277" s="3"/>
      <c r="R277" s="3"/>
    </row>
    <row r="278" spans="1:18">
      <c r="A278" s="3"/>
      <c r="B278" s="3"/>
      <c r="C278" s="3"/>
      <c r="D278" s="3"/>
      <c r="E278" s="3"/>
      <c r="F278" s="3"/>
      <c r="G278" s="13" t="str">
        <f t="shared" si="12"/>
        <v/>
      </c>
      <c r="H278" s="13" t="str">
        <f t="shared" si="13"/>
        <v/>
      </c>
      <c r="I278" s="13" t="str">
        <f t="shared" si="14"/>
        <v/>
      </c>
      <c r="J278" s="3"/>
      <c r="K278" s="3"/>
      <c r="L278" s="3"/>
      <c r="M278" s="3"/>
      <c r="N278" s="3"/>
      <c r="O278" s="3"/>
      <c r="P278" s="12"/>
      <c r="Q278" s="3"/>
      <c r="R278" s="3"/>
    </row>
    <row r="279" spans="1:18">
      <c r="A279" s="3"/>
      <c r="B279" s="3"/>
      <c r="C279" s="3"/>
      <c r="D279" s="3"/>
      <c r="E279" s="3"/>
      <c r="F279" s="3"/>
      <c r="G279" s="13" t="str">
        <f t="shared" si="12"/>
        <v/>
      </c>
      <c r="H279" s="13" t="str">
        <f t="shared" si="13"/>
        <v/>
      </c>
      <c r="I279" s="13" t="str">
        <f t="shared" si="14"/>
        <v/>
      </c>
      <c r="J279" s="3"/>
      <c r="K279" s="3"/>
      <c r="L279" s="3"/>
      <c r="M279" s="3"/>
      <c r="N279" s="3"/>
      <c r="O279" s="3"/>
      <c r="P279" s="12"/>
      <c r="Q279" s="3"/>
      <c r="R279" s="3"/>
    </row>
    <row r="280" spans="1:18">
      <c r="A280" s="3"/>
      <c r="B280" s="3"/>
      <c r="C280" s="3"/>
      <c r="D280" s="3"/>
      <c r="E280" s="3"/>
      <c r="F280" s="3"/>
      <c r="G280" s="13" t="str">
        <f t="shared" si="12"/>
        <v/>
      </c>
      <c r="H280" s="13" t="str">
        <f t="shared" si="13"/>
        <v/>
      </c>
      <c r="I280" s="13" t="str">
        <f t="shared" si="14"/>
        <v/>
      </c>
      <c r="J280" s="3"/>
      <c r="K280" s="3"/>
      <c r="L280" s="3"/>
      <c r="M280" s="3"/>
      <c r="N280" s="3"/>
      <c r="O280" s="3"/>
      <c r="P280" s="12"/>
      <c r="Q280" s="3"/>
      <c r="R280" s="3"/>
    </row>
    <row r="281" spans="1:18">
      <c r="A281" s="3"/>
      <c r="B281" s="3"/>
      <c r="C281" s="3"/>
      <c r="D281" s="3"/>
      <c r="E281" s="3"/>
      <c r="F281" s="3"/>
      <c r="G281" s="13" t="str">
        <f t="shared" si="12"/>
        <v/>
      </c>
      <c r="H281" s="13" t="str">
        <f t="shared" si="13"/>
        <v/>
      </c>
      <c r="I281" s="13" t="str">
        <f t="shared" si="14"/>
        <v/>
      </c>
      <c r="J281" s="3"/>
      <c r="K281" s="3"/>
      <c r="L281" s="3"/>
      <c r="M281" s="3"/>
      <c r="N281" s="3"/>
      <c r="O281" s="3"/>
      <c r="P281" s="12"/>
      <c r="Q281" s="3"/>
      <c r="R281" s="3"/>
    </row>
    <row r="282" spans="1:18">
      <c r="A282" s="3"/>
      <c r="B282" s="3"/>
      <c r="C282" s="3"/>
      <c r="D282" s="3"/>
      <c r="E282" s="3"/>
      <c r="F282" s="3"/>
      <c r="G282" s="13" t="str">
        <f t="shared" si="12"/>
        <v/>
      </c>
      <c r="H282" s="13" t="str">
        <f t="shared" si="13"/>
        <v/>
      </c>
      <c r="I282" s="13" t="str">
        <f t="shared" si="14"/>
        <v/>
      </c>
      <c r="J282" s="3"/>
      <c r="K282" s="3"/>
      <c r="L282" s="3"/>
      <c r="M282" s="3"/>
      <c r="N282" s="3"/>
      <c r="O282" s="3"/>
      <c r="P282" s="12"/>
      <c r="Q282" s="3"/>
      <c r="R282" s="3"/>
    </row>
    <row r="283" spans="1:18">
      <c r="A283" s="3"/>
      <c r="B283" s="3"/>
      <c r="C283" s="3"/>
      <c r="D283" s="3"/>
      <c r="E283" s="3"/>
      <c r="F283" s="3"/>
      <c r="G283" s="13" t="str">
        <f t="shared" si="12"/>
        <v/>
      </c>
      <c r="H283" s="13" t="str">
        <f t="shared" si="13"/>
        <v/>
      </c>
      <c r="I283" s="13" t="str">
        <f t="shared" si="14"/>
        <v/>
      </c>
      <c r="J283" s="3"/>
      <c r="K283" s="3"/>
      <c r="L283" s="3"/>
      <c r="M283" s="3"/>
      <c r="N283" s="3"/>
      <c r="O283" s="3"/>
      <c r="P283" s="12"/>
      <c r="Q283" s="3"/>
      <c r="R283" s="3"/>
    </row>
    <row r="284" spans="1:18">
      <c r="A284" s="3"/>
      <c r="B284" s="3"/>
      <c r="C284" s="3"/>
      <c r="D284" s="3"/>
      <c r="E284" s="3"/>
      <c r="F284" s="3"/>
      <c r="G284" s="13" t="str">
        <f t="shared" si="12"/>
        <v/>
      </c>
      <c r="H284" s="13" t="str">
        <f t="shared" si="13"/>
        <v/>
      </c>
      <c r="I284" s="13" t="str">
        <f t="shared" si="14"/>
        <v/>
      </c>
      <c r="J284" s="3"/>
      <c r="K284" s="3"/>
      <c r="L284" s="3"/>
      <c r="M284" s="3"/>
      <c r="N284" s="3"/>
      <c r="O284" s="3"/>
      <c r="P284" s="12"/>
      <c r="Q284" s="3"/>
      <c r="R284" s="3"/>
    </row>
    <row r="285" spans="1:18">
      <c r="A285" s="3"/>
      <c r="B285" s="3"/>
      <c r="C285" s="3"/>
      <c r="D285" s="3"/>
      <c r="E285" s="3"/>
      <c r="F285" s="3"/>
      <c r="G285" s="13" t="str">
        <f t="shared" si="12"/>
        <v/>
      </c>
      <c r="H285" s="13" t="str">
        <f t="shared" si="13"/>
        <v/>
      </c>
      <c r="I285" s="13" t="str">
        <f t="shared" si="14"/>
        <v/>
      </c>
      <c r="J285" s="3"/>
      <c r="K285" s="3"/>
      <c r="L285" s="3"/>
      <c r="M285" s="3"/>
      <c r="N285" s="3"/>
      <c r="O285" s="3"/>
      <c r="P285" s="12"/>
      <c r="Q285" s="3"/>
      <c r="R285" s="3"/>
    </row>
    <row r="286" spans="1:18">
      <c r="A286" s="3"/>
      <c r="B286" s="3"/>
      <c r="C286" s="3"/>
      <c r="D286" s="3"/>
      <c r="E286" s="3"/>
      <c r="F286" s="3"/>
      <c r="G286" s="13" t="str">
        <f t="shared" si="12"/>
        <v/>
      </c>
      <c r="H286" s="13" t="str">
        <f t="shared" si="13"/>
        <v/>
      </c>
      <c r="I286" s="13" t="str">
        <f t="shared" si="14"/>
        <v/>
      </c>
      <c r="J286" s="3"/>
      <c r="K286" s="3"/>
      <c r="L286" s="3"/>
      <c r="M286" s="3"/>
      <c r="N286" s="3"/>
      <c r="O286" s="3"/>
      <c r="P286" s="12"/>
      <c r="Q286" s="3"/>
      <c r="R286" s="3"/>
    </row>
    <row r="287" spans="1:18">
      <c r="A287" s="3"/>
      <c r="B287" s="3"/>
      <c r="C287" s="3"/>
      <c r="D287" s="3"/>
      <c r="E287" s="3"/>
      <c r="F287" s="3"/>
      <c r="G287" s="13" t="str">
        <f t="shared" si="12"/>
        <v/>
      </c>
      <c r="H287" s="13" t="str">
        <f t="shared" si="13"/>
        <v/>
      </c>
      <c r="I287" s="13" t="str">
        <f t="shared" si="14"/>
        <v/>
      </c>
      <c r="J287" s="3"/>
      <c r="K287" s="3"/>
      <c r="L287" s="3"/>
      <c r="M287" s="3"/>
      <c r="N287" s="3"/>
      <c r="O287" s="3"/>
      <c r="P287" s="12"/>
      <c r="Q287" s="3"/>
      <c r="R287" s="3"/>
    </row>
    <row r="288" spans="1:18">
      <c r="A288" s="3"/>
      <c r="B288" s="3"/>
      <c r="C288" s="3"/>
      <c r="D288" s="3"/>
      <c r="E288" s="3"/>
      <c r="F288" s="3"/>
      <c r="G288" s="13" t="str">
        <f t="shared" si="12"/>
        <v/>
      </c>
      <c r="H288" s="13" t="str">
        <f t="shared" si="13"/>
        <v/>
      </c>
      <c r="I288" s="13" t="str">
        <f t="shared" si="14"/>
        <v/>
      </c>
      <c r="J288" s="3"/>
      <c r="K288" s="3"/>
      <c r="L288" s="3"/>
      <c r="M288" s="3"/>
      <c r="N288" s="3"/>
      <c r="O288" s="3"/>
      <c r="P288" s="12"/>
      <c r="Q288" s="3"/>
      <c r="R288" s="3"/>
    </row>
    <row r="289" spans="1:18">
      <c r="A289" s="3"/>
      <c r="B289" s="3"/>
      <c r="C289" s="3"/>
      <c r="D289" s="3"/>
      <c r="E289" s="3"/>
      <c r="F289" s="3"/>
      <c r="G289" s="13" t="str">
        <f t="shared" si="12"/>
        <v/>
      </c>
      <c r="H289" s="13" t="str">
        <f t="shared" si="13"/>
        <v/>
      </c>
      <c r="I289" s="13" t="str">
        <f t="shared" si="14"/>
        <v/>
      </c>
      <c r="J289" s="3"/>
      <c r="K289" s="3"/>
      <c r="L289" s="3"/>
      <c r="M289" s="3"/>
      <c r="N289" s="3"/>
      <c r="O289" s="3"/>
      <c r="P289" s="12"/>
      <c r="Q289" s="3"/>
      <c r="R289" s="3"/>
    </row>
    <row r="290" spans="1:18">
      <c r="A290" s="3"/>
      <c r="B290" s="3"/>
      <c r="C290" s="3"/>
      <c r="D290" s="3"/>
      <c r="E290" s="3"/>
      <c r="F290" s="3"/>
      <c r="G290" s="13" t="str">
        <f t="shared" si="12"/>
        <v/>
      </c>
      <c r="H290" s="13" t="str">
        <f t="shared" si="13"/>
        <v/>
      </c>
      <c r="I290" s="13" t="str">
        <f t="shared" si="14"/>
        <v/>
      </c>
      <c r="J290" s="3"/>
      <c r="K290" s="3"/>
      <c r="L290" s="3"/>
      <c r="M290" s="3"/>
      <c r="N290" s="3"/>
      <c r="O290" s="3"/>
      <c r="P290" s="12"/>
      <c r="Q290" s="3"/>
      <c r="R290" s="3"/>
    </row>
    <row r="291" spans="1:18">
      <c r="A291" s="3"/>
      <c r="B291" s="3"/>
      <c r="C291" s="3"/>
      <c r="D291" s="3"/>
      <c r="E291" s="3"/>
      <c r="F291" s="3"/>
      <c r="G291" s="13" t="str">
        <f t="shared" si="12"/>
        <v/>
      </c>
      <c r="H291" s="13" t="str">
        <f t="shared" si="13"/>
        <v/>
      </c>
      <c r="I291" s="13" t="str">
        <f t="shared" si="14"/>
        <v/>
      </c>
      <c r="J291" s="3"/>
      <c r="K291" s="3"/>
      <c r="L291" s="3"/>
      <c r="M291" s="3"/>
      <c r="N291" s="3"/>
      <c r="O291" s="3"/>
      <c r="P291" s="12"/>
      <c r="Q291" s="3"/>
      <c r="R291" s="3"/>
    </row>
    <row r="292" spans="1:18">
      <c r="A292" s="3"/>
      <c r="B292" s="3"/>
      <c r="C292" s="3"/>
      <c r="D292" s="3"/>
      <c r="E292" s="3"/>
      <c r="F292" s="3"/>
      <c r="G292" s="13" t="str">
        <f t="shared" si="12"/>
        <v/>
      </c>
      <c r="H292" s="13" t="str">
        <f t="shared" si="13"/>
        <v/>
      </c>
      <c r="I292" s="13" t="str">
        <f t="shared" si="14"/>
        <v/>
      </c>
      <c r="J292" s="3"/>
      <c r="K292" s="3"/>
      <c r="L292" s="3"/>
      <c r="M292" s="3"/>
      <c r="N292" s="3"/>
      <c r="O292" s="3"/>
      <c r="P292" s="12"/>
      <c r="Q292" s="3"/>
      <c r="R292" s="3"/>
    </row>
    <row r="293" spans="1:18">
      <c r="A293" s="3"/>
      <c r="B293" s="3"/>
      <c r="C293" s="3"/>
      <c r="D293" s="3"/>
      <c r="E293" s="3"/>
      <c r="F293" s="3"/>
      <c r="G293" s="13" t="str">
        <f t="shared" si="12"/>
        <v/>
      </c>
      <c r="H293" s="13" t="str">
        <f t="shared" si="13"/>
        <v/>
      </c>
      <c r="I293" s="13" t="str">
        <f t="shared" si="14"/>
        <v/>
      </c>
      <c r="J293" s="3"/>
      <c r="K293" s="3"/>
      <c r="L293" s="3"/>
      <c r="M293" s="3"/>
      <c r="N293" s="3"/>
      <c r="O293" s="3"/>
      <c r="P293" s="12"/>
      <c r="Q293" s="3"/>
      <c r="R293" s="3"/>
    </row>
    <row r="294" spans="1:18">
      <c r="A294" s="3"/>
      <c r="B294" s="3"/>
      <c r="C294" s="3"/>
      <c r="D294" s="3"/>
      <c r="E294" s="3"/>
      <c r="F294" s="3"/>
      <c r="G294" s="13" t="str">
        <f t="shared" si="12"/>
        <v/>
      </c>
      <c r="H294" s="13" t="str">
        <f t="shared" si="13"/>
        <v/>
      </c>
      <c r="I294" s="13" t="str">
        <f t="shared" si="14"/>
        <v/>
      </c>
      <c r="J294" s="3"/>
      <c r="K294" s="3"/>
      <c r="L294" s="3"/>
      <c r="M294" s="3"/>
      <c r="N294" s="3"/>
      <c r="O294" s="3"/>
      <c r="P294" s="12"/>
      <c r="Q294" s="3"/>
      <c r="R294" s="3"/>
    </row>
    <row r="295" spans="1:18">
      <c r="A295" s="3"/>
      <c r="B295" s="3"/>
      <c r="C295" s="3"/>
      <c r="D295" s="3"/>
      <c r="E295" s="3"/>
      <c r="F295" s="3"/>
      <c r="G295" s="13" t="str">
        <f t="shared" si="12"/>
        <v/>
      </c>
      <c r="H295" s="13" t="str">
        <f t="shared" si="13"/>
        <v/>
      </c>
      <c r="I295" s="13" t="str">
        <f t="shared" si="14"/>
        <v/>
      </c>
      <c r="J295" s="3"/>
      <c r="K295" s="3"/>
      <c r="L295" s="3"/>
      <c r="M295" s="3"/>
      <c r="N295" s="3"/>
      <c r="O295" s="3"/>
      <c r="P295" s="12"/>
      <c r="Q295" s="3"/>
      <c r="R295" s="3"/>
    </row>
    <row r="296" spans="1:18">
      <c r="A296" s="3"/>
      <c r="B296" s="3"/>
      <c r="C296" s="3"/>
      <c r="D296" s="3"/>
      <c r="E296" s="3"/>
      <c r="F296" s="3"/>
      <c r="G296" s="13" t="str">
        <f t="shared" si="12"/>
        <v/>
      </c>
      <c r="H296" s="13" t="str">
        <f t="shared" si="13"/>
        <v/>
      </c>
      <c r="I296" s="13" t="str">
        <f t="shared" si="14"/>
        <v/>
      </c>
      <c r="J296" s="3"/>
      <c r="K296" s="3"/>
      <c r="L296" s="3"/>
      <c r="M296" s="3"/>
      <c r="N296" s="3"/>
      <c r="O296" s="3"/>
      <c r="P296" s="12"/>
      <c r="Q296" s="3"/>
      <c r="R296" s="3"/>
    </row>
    <row r="297" spans="1:18">
      <c r="A297" s="3"/>
      <c r="B297" s="3"/>
      <c r="C297" s="3"/>
      <c r="D297" s="3"/>
      <c r="E297" s="3"/>
      <c r="F297" s="3"/>
      <c r="G297" s="13" t="str">
        <f t="shared" si="12"/>
        <v/>
      </c>
      <c r="H297" s="13" t="str">
        <f t="shared" si="13"/>
        <v/>
      </c>
      <c r="I297" s="13" t="str">
        <f t="shared" si="14"/>
        <v/>
      </c>
      <c r="J297" s="3"/>
      <c r="K297" s="3"/>
      <c r="L297" s="3"/>
      <c r="M297" s="3"/>
      <c r="N297" s="3"/>
      <c r="O297" s="3"/>
      <c r="P297" s="12"/>
      <c r="Q297" s="3"/>
      <c r="R297" s="3"/>
    </row>
    <row r="298" spans="1:18">
      <c r="A298" s="3"/>
      <c r="B298" s="3"/>
      <c r="C298" s="3"/>
      <c r="D298" s="3"/>
      <c r="E298" s="3"/>
      <c r="F298" s="3"/>
      <c r="G298" s="13" t="str">
        <f t="shared" si="12"/>
        <v/>
      </c>
      <c r="H298" s="13" t="str">
        <f t="shared" si="13"/>
        <v/>
      </c>
      <c r="I298" s="13" t="str">
        <f t="shared" si="14"/>
        <v/>
      </c>
      <c r="J298" s="3"/>
      <c r="K298" s="3"/>
      <c r="L298" s="3"/>
      <c r="M298" s="3"/>
      <c r="N298" s="3"/>
      <c r="O298" s="3"/>
      <c r="P298" s="12"/>
      <c r="Q298" s="3"/>
      <c r="R298" s="3"/>
    </row>
    <row r="299" spans="1:18">
      <c r="A299" s="3"/>
      <c r="B299" s="3"/>
      <c r="C299" s="3"/>
      <c r="D299" s="3"/>
      <c r="E299" s="3"/>
      <c r="F299" s="3"/>
      <c r="G299" s="13" t="str">
        <f t="shared" si="12"/>
        <v/>
      </c>
      <c r="H299" s="13" t="str">
        <f t="shared" si="13"/>
        <v/>
      </c>
      <c r="I299" s="13" t="str">
        <f t="shared" si="14"/>
        <v/>
      </c>
      <c r="J299" s="3"/>
      <c r="K299" s="3"/>
      <c r="L299" s="3"/>
      <c r="M299" s="3"/>
      <c r="N299" s="3"/>
      <c r="O299" s="3"/>
      <c r="P299" s="12"/>
      <c r="Q299" s="3"/>
      <c r="R299" s="3"/>
    </row>
    <row r="300" spans="1:18">
      <c r="A300" s="3"/>
      <c r="B300" s="3"/>
      <c r="C300" s="3"/>
      <c r="D300" s="3"/>
      <c r="E300" s="3"/>
      <c r="F300" s="3"/>
      <c r="G300" s="13" t="str">
        <f t="shared" si="12"/>
        <v/>
      </c>
      <c r="H300" s="13" t="str">
        <f t="shared" si="13"/>
        <v/>
      </c>
      <c r="I300" s="13" t="str">
        <f t="shared" si="14"/>
        <v/>
      </c>
      <c r="J300" s="3"/>
      <c r="K300" s="3"/>
      <c r="L300" s="3"/>
      <c r="M300" s="3"/>
      <c r="N300" s="3"/>
      <c r="O300" s="3"/>
      <c r="P300" s="12"/>
      <c r="Q300" s="3"/>
      <c r="R300" s="3"/>
    </row>
    <row r="301" spans="1:18">
      <c r="A301" s="3"/>
      <c r="B301" s="3"/>
      <c r="C301" s="3"/>
      <c r="D301" s="3"/>
      <c r="E301" s="3"/>
      <c r="F301" s="3"/>
      <c r="G301" s="13" t="str">
        <f t="shared" si="12"/>
        <v/>
      </c>
      <c r="H301" s="13" t="str">
        <f t="shared" si="13"/>
        <v/>
      </c>
      <c r="I301" s="13" t="str">
        <f t="shared" si="14"/>
        <v/>
      </c>
      <c r="J301" s="3"/>
      <c r="K301" s="3"/>
      <c r="L301" s="3"/>
      <c r="M301" s="3"/>
      <c r="N301" s="3"/>
      <c r="O301" s="3"/>
      <c r="P301" s="12"/>
      <c r="Q301" s="3"/>
      <c r="R301" s="3"/>
    </row>
    <row r="302" spans="1:18">
      <c r="A302" s="3"/>
      <c r="B302" s="3"/>
      <c r="C302" s="3"/>
      <c r="D302" s="3"/>
      <c r="E302" s="3"/>
      <c r="F302" s="3"/>
      <c r="G302" s="13" t="str">
        <f t="shared" si="12"/>
        <v/>
      </c>
      <c r="H302" s="13" t="str">
        <f t="shared" si="13"/>
        <v/>
      </c>
      <c r="I302" s="13" t="str">
        <f t="shared" si="14"/>
        <v/>
      </c>
      <c r="J302" s="3"/>
      <c r="K302" s="3"/>
      <c r="L302" s="3"/>
      <c r="M302" s="3"/>
      <c r="N302" s="3"/>
      <c r="O302" s="3"/>
      <c r="P302" s="12"/>
      <c r="Q302" s="3"/>
      <c r="R302" s="3"/>
    </row>
    <row r="303" spans="1:18">
      <c r="A303" s="3"/>
      <c r="B303" s="3"/>
      <c r="C303" s="3"/>
      <c r="D303" s="3"/>
      <c r="E303" s="3"/>
      <c r="F303" s="3"/>
      <c r="G303" s="13" t="str">
        <f t="shared" si="12"/>
        <v/>
      </c>
      <c r="H303" s="13" t="str">
        <f t="shared" si="13"/>
        <v/>
      </c>
      <c r="I303" s="13" t="str">
        <f t="shared" si="14"/>
        <v/>
      </c>
      <c r="J303" s="3"/>
      <c r="K303" s="3"/>
      <c r="L303" s="3"/>
      <c r="M303" s="3"/>
      <c r="N303" s="3"/>
      <c r="O303" s="3"/>
      <c r="P303" s="12"/>
      <c r="Q303" s="3"/>
      <c r="R303" s="3"/>
    </row>
    <row r="304" spans="1:18">
      <c r="A304" s="3"/>
      <c r="B304" s="3"/>
      <c r="C304" s="3"/>
      <c r="D304" s="3"/>
      <c r="E304" s="3"/>
      <c r="F304" s="3"/>
      <c r="G304" s="13" t="str">
        <f t="shared" si="12"/>
        <v/>
      </c>
      <c r="H304" s="13" t="str">
        <f t="shared" si="13"/>
        <v/>
      </c>
      <c r="I304" s="13" t="str">
        <f t="shared" si="14"/>
        <v/>
      </c>
      <c r="J304" s="3"/>
      <c r="K304" s="3"/>
      <c r="L304" s="3"/>
      <c r="M304" s="3"/>
      <c r="N304" s="3"/>
      <c r="O304" s="3"/>
      <c r="P304" s="12"/>
      <c r="Q304" s="3"/>
      <c r="R304" s="3"/>
    </row>
    <row r="305" spans="1:18">
      <c r="A305" s="3"/>
      <c r="B305" s="3"/>
      <c r="C305" s="3"/>
      <c r="D305" s="3"/>
      <c r="E305" s="3"/>
      <c r="F305" s="3"/>
      <c r="G305" s="13" t="str">
        <f t="shared" si="12"/>
        <v/>
      </c>
      <c r="H305" s="13" t="str">
        <f t="shared" si="13"/>
        <v/>
      </c>
      <c r="I305" s="13" t="str">
        <f t="shared" si="14"/>
        <v/>
      </c>
      <c r="J305" s="3"/>
      <c r="K305" s="3"/>
      <c r="L305" s="3"/>
      <c r="M305" s="3"/>
      <c r="N305" s="3"/>
      <c r="O305" s="3"/>
      <c r="P305" s="12"/>
      <c r="Q305" s="3"/>
      <c r="R305" s="3"/>
    </row>
    <row r="306" spans="1:18">
      <c r="A306" s="3"/>
      <c r="B306" s="3"/>
      <c r="C306" s="3"/>
      <c r="D306" s="3"/>
      <c r="E306" s="3"/>
      <c r="F306" s="3"/>
      <c r="G306" s="13" t="str">
        <f t="shared" si="12"/>
        <v/>
      </c>
      <c r="H306" s="13" t="str">
        <f t="shared" si="13"/>
        <v/>
      </c>
      <c r="I306" s="13" t="str">
        <f t="shared" si="14"/>
        <v/>
      </c>
      <c r="J306" s="3"/>
      <c r="K306" s="3"/>
      <c r="L306" s="3"/>
      <c r="M306" s="3"/>
      <c r="N306" s="3"/>
      <c r="O306" s="3"/>
      <c r="P306" s="12"/>
      <c r="Q306" s="3"/>
      <c r="R306" s="3"/>
    </row>
    <row r="307" spans="1:18">
      <c r="A307" s="3"/>
      <c r="B307" s="3"/>
      <c r="C307" s="3"/>
      <c r="D307" s="3"/>
      <c r="E307" s="3"/>
      <c r="F307" s="3"/>
      <c r="G307" s="13" t="str">
        <f t="shared" si="12"/>
        <v/>
      </c>
      <c r="H307" s="13" t="str">
        <f t="shared" si="13"/>
        <v/>
      </c>
      <c r="I307" s="13" t="str">
        <f t="shared" si="14"/>
        <v/>
      </c>
      <c r="J307" s="3"/>
      <c r="K307" s="3"/>
      <c r="L307" s="3"/>
      <c r="M307" s="3"/>
      <c r="N307" s="3"/>
      <c r="O307" s="3"/>
      <c r="P307" s="12"/>
      <c r="Q307" s="3"/>
      <c r="R307" s="3"/>
    </row>
    <row r="308" spans="1:18">
      <c r="A308" s="3"/>
      <c r="B308" s="3"/>
      <c r="C308" s="3"/>
      <c r="D308" s="3"/>
      <c r="E308" s="3"/>
      <c r="F308" s="3"/>
      <c r="G308" s="13" t="str">
        <f t="shared" si="12"/>
        <v/>
      </c>
      <c r="H308" s="13" t="str">
        <f t="shared" si="13"/>
        <v/>
      </c>
      <c r="I308" s="13" t="str">
        <f t="shared" si="14"/>
        <v/>
      </c>
      <c r="J308" s="3"/>
      <c r="K308" s="3"/>
      <c r="L308" s="3"/>
      <c r="M308" s="3"/>
      <c r="N308" s="3"/>
      <c r="O308" s="3"/>
      <c r="P308" s="12"/>
      <c r="Q308" s="3"/>
      <c r="R308" s="3"/>
    </row>
    <row r="309" spans="1:18">
      <c r="A309" s="3"/>
      <c r="B309" s="3"/>
      <c r="C309" s="3"/>
      <c r="D309" s="3"/>
      <c r="E309" s="3"/>
      <c r="F309" s="3"/>
      <c r="G309" s="13" t="str">
        <f t="shared" si="12"/>
        <v/>
      </c>
      <c r="H309" s="13" t="str">
        <f t="shared" si="13"/>
        <v/>
      </c>
      <c r="I309" s="13" t="str">
        <f t="shared" si="14"/>
        <v/>
      </c>
      <c r="J309" s="3"/>
      <c r="K309" s="3"/>
      <c r="L309" s="3"/>
      <c r="M309" s="3"/>
      <c r="N309" s="3"/>
      <c r="O309" s="3"/>
      <c r="P309" s="12"/>
      <c r="Q309" s="3"/>
      <c r="R309" s="3"/>
    </row>
    <row r="310" spans="1:18">
      <c r="A310" s="3"/>
      <c r="B310" s="3"/>
      <c r="C310" s="3"/>
      <c r="D310" s="3"/>
      <c r="E310" s="3"/>
      <c r="F310" s="3"/>
      <c r="G310" s="13" t="str">
        <f t="shared" si="12"/>
        <v/>
      </c>
      <c r="H310" s="13" t="str">
        <f t="shared" si="13"/>
        <v/>
      </c>
      <c r="I310" s="13" t="str">
        <f t="shared" si="14"/>
        <v/>
      </c>
      <c r="J310" s="3"/>
      <c r="K310" s="3"/>
      <c r="L310" s="3"/>
      <c r="M310" s="3"/>
      <c r="N310" s="3"/>
      <c r="O310" s="3"/>
      <c r="P310" s="12"/>
      <c r="Q310" s="3"/>
      <c r="R310" s="3"/>
    </row>
    <row r="311" spans="1:18">
      <c r="A311" s="3"/>
      <c r="B311" s="3"/>
      <c r="C311" s="3"/>
      <c r="D311" s="3"/>
      <c r="E311" s="3"/>
      <c r="F311" s="3"/>
      <c r="G311" s="13" t="str">
        <f t="shared" si="12"/>
        <v/>
      </c>
      <c r="H311" s="13" t="str">
        <f t="shared" si="13"/>
        <v/>
      </c>
      <c r="I311" s="13" t="str">
        <f t="shared" si="14"/>
        <v/>
      </c>
      <c r="J311" s="3"/>
      <c r="K311" s="3"/>
      <c r="L311" s="3"/>
      <c r="M311" s="3"/>
      <c r="N311" s="3"/>
      <c r="O311" s="3"/>
      <c r="P311" s="12"/>
      <c r="Q311" s="3"/>
      <c r="R311" s="3"/>
    </row>
    <row r="312" spans="1:18">
      <c r="A312" s="3"/>
      <c r="B312" s="3"/>
      <c r="C312" s="3"/>
      <c r="D312" s="3"/>
      <c r="E312" s="3"/>
      <c r="F312" s="3"/>
      <c r="G312" s="13" t="str">
        <f t="shared" si="12"/>
        <v/>
      </c>
      <c r="H312" s="13" t="str">
        <f t="shared" si="13"/>
        <v/>
      </c>
      <c r="I312" s="13" t="str">
        <f t="shared" si="14"/>
        <v/>
      </c>
      <c r="J312" s="3"/>
      <c r="K312" s="3"/>
      <c r="L312" s="3"/>
      <c r="M312" s="3"/>
      <c r="N312" s="3"/>
      <c r="O312" s="3"/>
      <c r="P312" s="12"/>
      <c r="Q312" s="3"/>
      <c r="R312" s="3"/>
    </row>
    <row r="313" spans="1:18">
      <c r="A313" s="3"/>
      <c r="B313" s="3"/>
      <c r="C313" s="3"/>
      <c r="D313" s="3"/>
      <c r="E313" s="3"/>
      <c r="F313" s="3"/>
      <c r="G313" s="13" t="str">
        <f t="shared" si="12"/>
        <v/>
      </c>
      <c r="H313" s="13" t="str">
        <f t="shared" si="13"/>
        <v/>
      </c>
      <c r="I313" s="13" t="str">
        <f t="shared" si="14"/>
        <v/>
      </c>
      <c r="J313" s="3"/>
      <c r="K313" s="3"/>
      <c r="L313" s="3"/>
      <c r="M313" s="3"/>
      <c r="N313" s="3"/>
      <c r="O313" s="3"/>
      <c r="P313" s="12"/>
      <c r="Q313" s="3"/>
      <c r="R313" s="3"/>
    </row>
    <row r="314" spans="1:18">
      <c r="A314" s="3"/>
      <c r="B314" s="3"/>
      <c r="C314" s="3"/>
      <c r="D314" s="3"/>
      <c r="E314" s="3"/>
      <c r="F314" s="3"/>
      <c r="G314" s="13" t="str">
        <f t="shared" si="12"/>
        <v/>
      </c>
      <c r="H314" s="13" t="str">
        <f t="shared" si="13"/>
        <v/>
      </c>
      <c r="I314" s="13" t="str">
        <f t="shared" si="14"/>
        <v/>
      </c>
      <c r="J314" s="3"/>
      <c r="K314" s="3"/>
      <c r="L314" s="3"/>
      <c r="M314" s="3"/>
      <c r="N314" s="3"/>
      <c r="O314" s="3"/>
      <c r="P314" s="12"/>
      <c r="Q314" s="3"/>
      <c r="R314" s="3"/>
    </row>
    <row r="315" spans="1:18">
      <c r="A315" s="3"/>
      <c r="B315" s="3"/>
      <c r="C315" s="3"/>
      <c r="D315" s="3"/>
      <c r="E315" s="3"/>
      <c r="F315" s="3"/>
      <c r="G315" s="13" t="str">
        <f t="shared" si="12"/>
        <v/>
      </c>
      <c r="H315" s="13" t="str">
        <f t="shared" si="13"/>
        <v/>
      </c>
      <c r="I315" s="13" t="str">
        <f t="shared" si="14"/>
        <v/>
      </c>
      <c r="J315" s="3"/>
      <c r="K315" s="3"/>
      <c r="L315" s="3"/>
      <c r="M315" s="3"/>
      <c r="N315" s="3"/>
      <c r="O315" s="3"/>
      <c r="P315" s="12"/>
      <c r="Q315" s="3"/>
      <c r="R315" s="3"/>
    </row>
    <row r="316" spans="1:18">
      <c r="A316" s="3"/>
      <c r="B316" s="3"/>
      <c r="C316" s="3"/>
      <c r="D316" s="3"/>
      <c r="E316" s="3"/>
      <c r="F316" s="3"/>
      <c r="G316" s="13" t="str">
        <f t="shared" si="12"/>
        <v/>
      </c>
      <c r="H316" s="13" t="str">
        <f t="shared" si="13"/>
        <v/>
      </c>
      <c r="I316" s="13" t="str">
        <f t="shared" si="14"/>
        <v/>
      </c>
      <c r="J316" s="3"/>
      <c r="K316" s="3"/>
      <c r="L316" s="3"/>
      <c r="M316" s="3"/>
      <c r="N316" s="3"/>
      <c r="O316" s="3"/>
      <c r="P316" s="12"/>
      <c r="Q316" s="3"/>
      <c r="R316" s="3"/>
    </row>
    <row r="317" spans="1:18">
      <c r="A317" s="3"/>
      <c r="B317" s="3"/>
      <c r="C317" s="3"/>
      <c r="D317" s="3"/>
      <c r="E317" s="3"/>
      <c r="F317" s="3"/>
      <c r="G317" s="13" t="str">
        <f t="shared" si="12"/>
        <v/>
      </c>
      <c r="H317" s="13" t="str">
        <f t="shared" si="13"/>
        <v/>
      </c>
      <c r="I317" s="13" t="str">
        <f t="shared" si="14"/>
        <v/>
      </c>
      <c r="J317" s="3"/>
      <c r="K317" s="3"/>
      <c r="L317" s="3"/>
      <c r="M317" s="3"/>
      <c r="N317" s="3"/>
      <c r="O317" s="3"/>
      <c r="P317" s="12"/>
      <c r="Q317" s="3"/>
      <c r="R317" s="3"/>
    </row>
    <row r="318" spans="1:18">
      <c r="A318" s="3"/>
      <c r="B318" s="3"/>
      <c r="C318" s="3"/>
      <c r="D318" s="3"/>
      <c r="E318" s="3"/>
      <c r="F318" s="3"/>
      <c r="G318" s="13" t="str">
        <f t="shared" si="12"/>
        <v/>
      </c>
      <c r="H318" s="13" t="str">
        <f t="shared" si="13"/>
        <v/>
      </c>
      <c r="I318" s="13" t="str">
        <f t="shared" si="14"/>
        <v/>
      </c>
      <c r="J318" s="3"/>
      <c r="K318" s="3"/>
      <c r="L318" s="3"/>
      <c r="M318" s="3"/>
      <c r="N318" s="3"/>
      <c r="O318" s="3"/>
      <c r="P318" s="12"/>
      <c r="Q318" s="3"/>
      <c r="R318" s="3"/>
    </row>
    <row r="319" spans="1:18">
      <c r="A319" s="3"/>
      <c r="B319" s="3"/>
      <c r="C319" s="3"/>
      <c r="D319" s="3"/>
      <c r="E319" s="3"/>
      <c r="F319" s="3"/>
      <c r="G319" s="13" t="str">
        <f t="shared" si="12"/>
        <v/>
      </c>
      <c r="H319" s="13" t="str">
        <f t="shared" si="13"/>
        <v/>
      </c>
      <c r="I319" s="13" t="str">
        <f t="shared" si="14"/>
        <v/>
      </c>
      <c r="J319" s="3"/>
      <c r="K319" s="3"/>
      <c r="L319" s="3"/>
      <c r="M319" s="3"/>
      <c r="N319" s="3"/>
      <c r="O319" s="3"/>
      <c r="P319" s="12"/>
      <c r="Q319" s="3"/>
      <c r="R319" s="3"/>
    </row>
    <row r="320" spans="1:18">
      <c r="A320" s="3"/>
      <c r="B320" s="3"/>
      <c r="C320" s="3"/>
      <c r="D320" s="3"/>
      <c r="E320" s="3"/>
      <c r="F320" s="3"/>
      <c r="G320" s="13" t="str">
        <f t="shared" si="12"/>
        <v/>
      </c>
      <c r="H320" s="13" t="str">
        <f t="shared" si="13"/>
        <v/>
      </c>
      <c r="I320" s="13" t="str">
        <f t="shared" si="14"/>
        <v/>
      </c>
      <c r="J320" s="3"/>
      <c r="K320" s="3"/>
      <c r="L320" s="3"/>
      <c r="M320" s="3"/>
      <c r="N320" s="3"/>
      <c r="O320" s="3"/>
      <c r="P320" s="12"/>
      <c r="Q320" s="3"/>
      <c r="R320" s="3"/>
    </row>
    <row r="321" spans="1:18">
      <c r="A321" s="3"/>
      <c r="B321" s="3"/>
      <c r="C321" s="3"/>
      <c r="D321" s="3"/>
      <c r="E321" s="3"/>
      <c r="F321" s="3"/>
      <c r="G321" s="13" t="str">
        <f t="shared" si="12"/>
        <v/>
      </c>
      <c r="H321" s="13" t="str">
        <f t="shared" si="13"/>
        <v/>
      </c>
      <c r="I321" s="13" t="str">
        <f t="shared" si="14"/>
        <v/>
      </c>
      <c r="J321" s="3"/>
      <c r="K321" s="3"/>
      <c r="L321" s="3"/>
      <c r="M321" s="3"/>
      <c r="N321" s="3"/>
      <c r="O321" s="3"/>
      <c r="P321" s="12"/>
      <c r="Q321" s="3"/>
      <c r="R321" s="3"/>
    </row>
    <row r="322" spans="1:18">
      <c r="A322" s="3"/>
      <c r="B322" s="3"/>
      <c r="C322" s="3"/>
      <c r="D322" s="3"/>
      <c r="E322" s="3"/>
      <c r="F322" s="3"/>
      <c r="G322" s="13" t="str">
        <f t="shared" si="12"/>
        <v/>
      </c>
      <c r="H322" s="13" t="str">
        <f t="shared" si="13"/>
        <v/>
      </c>
      <c r="I322" s="13" t="str">
        <f t="shared" si="14"/>
        <v/>
      </c>
      <c r="J322" s="3"/>
      <c r="K322" s="3"/>
      <c r="L322" s="3"/>
      <c r="M322" s="3"/>
      <c r="N322" s="3"/>
      <c r="O322" s="3"/>
      <c r="P322" s="12"/>
      <c r="Q322" s="3"/>
      <c r="R322" s="3"/>
    </row>
    <row r="323" spans="1:18">
      <c r="A323" s="3"/>
      <c r="B323" s="3"/>
      <c r="C323" s="3"/>
      <c r="D323" s="3"/>
      <c r="E323" s="3"/>
      <c r="F323" s="3"/>
      <c r="G323" s="13" t="str">
        <f t="shared" ref="G323:G386" si="15">IF(E323="","",E323/5)</f>
        <v/>
      </c>
      <c r="H323" s="13" t="str">
        <f t="shared" ref="H323:H386" si="16">IF(E323="","",E323/6)</f>
        <v/>
      </c>
      <c r="I323" s="13" t="str">
        <f t="shared" ref="I323:I386" si="17">IF(E323="","",E323/7)</f>
        <v/>
      </c>
      <c r="J323" s="3"/>
      <c r="K323" s="3"/>
      <c r="L323" s="3"/>
      <c r="M323" s="3"/>
      <c r="N323" s="3"/>
      <c r="O323" s="3"/>
      <c r="P323" s="12"/>
      <c r="Q323" s="3"/>
      <c r="R323" s="3"/>
    </row>
    <row r="324" spans="1:18">
      <c r="A324" s="3"/>
      <c r="B324" s="3"/>
      <c r="C324" s="3"/>
      <c r="D324" s="3"/>
      <c r="E324" s="3"/>
      <c r="F324" s="3"/>
      <c r="G324" s="13" t="str">
        <f t="shared" si="15"/>
        <v/>
      </c>
      <c r="H324" s="13" t="str">
        <f t="shared" si="16"/>
        <v/>
      </c>
      <c r="I324" s="13" t="str">
        <f t="shared" si="17"/>
        <v/>
      </c>
      <c r="J324" s="3"/>
      <c r="K324" s="3"/>
      <c r="L324" s="3"/>
      <c r="M324" s="3"/>
      <c r="N324" s="3"/>
      <c r="O324" s="3"/>
      <c r="P324" s="12"/>
      <c r="Q324" s="3"/>
      <c r="R324" s="3"/>
    </row>
    <row r="325" spans="1:18">
      <c r="A325" s="3"/>
      <c r="B325" s="3"/>
      <c r="C325" s="3"/>
      <c r="D325" s="3"/>
      <c r="E325" s="3"/>
      <c r="F325" s="3"/>
      <c r="G325" s="13" t="str">
        <f t="shared" si="15"/>
        <v/>
      </c>
      <c r="H325" s="13" t="str">
        <f t="shared" si="16"/>
        <v/>
      </c>
      <c r="I325" s="13" t="str">
        <f t="shared" si="17"/>
        <v/>
      </c>
      <c r="J325" s="3"/>
      <c r="K325" s="3"/>
      <c r="L325" s="3"/>
      <c r="M325" s="3"/>
      <c r="N325" s="3"/>
      <c r="O325" s="3"/>
      <c r="P325" s="12"/>
      <c r="Q325" s="3"/>
      <c r="R325" s="3"/>
    </row>
    <row r="326" spans="1:18">
      <c r="A326" s="3"/>
      <c r="B326" s="3"/>
      <c r="C326" s="3"/>
      <c r="D326" s="3"/>
      <c r="E326" s="3"/>
      <c r="F326" s="3"/>
      <c r="G326" s="13" t="str">
        <f t="shared" si="15"/>
        <v/>
      </c>
      <c r="H326" s="13" t="str">
        <f t="shared" si="16"/>
        <v/>
      </c>
      <c r="I326" s="13" t="str">
        <f t="shared" si="17"/>
        <v/>
      </c>
      <c r="J326" s="3"/>
      <c r="K326" s="3"/>
      <c r="L326" s="3"/>
      <c r="M326" s="3"/>
      <c r="N326" s="3"/>
      <c r="O326" s="3"/>
      <c r="P326" s="12"/>
      <c r="Q326" s="3"/>
      <c r="R326" s="3"/>
    </row>
    <row r="327" spans="1:18">
      <c r="A327" s="3"/>
      <c r="B327" s="3"/>
      <c r="C327" s="3"/>
      <c r="D327" s="3"/>
      <c r="E327" s="3"/>
      <c r="F327" s="3"/>
      <c r="G327" s="13" t="str">
        <f t="shared" si="15"/>
        <v/>
      </c>
      <c r="H327" s="13" t="str">
        <f t="shared" si="16"/>
        <v/>
      </c>
      <c r="I327" s="13" t="str">
        <f t="shared" si="17"/>
        <v/>
      </c>
      <c r="J327" s="3"/>
      <c r="K327" s="3"/>
      <c r="L327" s="3"/>
      <c r="M327" s="3"/>
      <c r="N327" s="3"/>
      <c r="O327" s="3"/>
      <c r="P327" s="12"/>
      <c r="Q327" s="3"/>
      <c r="R327" s="3"/>
    </row>
    <row r="328" spans="1:18">
      <c r="A328" s="3"/>
      <c r="B328" s="3"/>
      <c r="C328" s="3"/>
      <c r="D328" s="3"/>
      <c r="E328" s="3"/>
      <c r="F328" s="3"/>
      <c r="G328" s="13" t="str">
        <f t="shared" si="15"/>
        <v/>
      </c>
      <c r="H328" s="13" t="str">
        <f t="shared" si="16"/>
        <v/>
      </c>
      <c r="I328" s="13" t="str">
        <f t="shared" si="17"/>
        <v/>
      </c>
      <c r="J328" s="3"/>
      <c r="K328" s="3"/>
      <c r="L328" s="3"/>
      <c r="M328" s="3"/>
      <c r="N328" s="3"/>
      <c r="O328" s="3"/>
      <c r="P328" s="12"/>
      <c r="Q328" s="3"/>
      <c r="R328" s="3"/>
    </row>
    <row r="329" spans="1:18">
      <c r="A329" s="3"/>
      <c r="B329" s="3"/>
      <c r="C329" s="3"/>
      <c r="D329" s="3"/>
      <c r="E329" s="3"/>
      <c r="F329" s="3"/>
      <c r="G329" s="13" t="str">
        <f t="shared" si="15"/>
        <v/>
      </c>
      <c r="H329" s="13" t="str">
        <f t="shared" si="16"/>
        <v/>
      </c>
      <c r="I329" s="13" t="str">
        <f t="shared" si="17"/>
        <v/>
      </c>
      <c r="J329" s="3"/>
      <c r="K329" s="3"/>
      <c r="L329" s="3"/>
      <c r="M329" s="3"/>
      <c r="N329" s="3"/>
      <c r="O329" s="3"/>
      <c r="P329" s="12"/>
      <c r="Q329" s="3"/>
      <c r="R329" s="3"/>
    </row>
    <row r="330" spans="1:18">
      <c r="A330" s="3"/>
      <c r="B330" s="3"/>
      <c r="C330" s="3"/>
      <c r="D330" s="3"/>
      <c r="E330" s="3"/>
      <c r="F330" s="3"/>
      <c r="G330" s="13" t="str">
        <f t="shared" si="15"/>
        <v/>
      </c>
      <c r="H330" s="13" t="str">
        <f t="shared" si="16"/>
        <v/>
      </c>
      <c r="I330" s="13" t="str">
        <f t="shared" si="17"/>
        <v/>
      </c>
      <c r="J330" s="3"/>
      <c r="K330" s="3"/>
      <c r="L330" s="3"/>
      <c r="M330" s="3"/>
      <c r="N330" s="3"/>
      <c r="O330" s="3"/>
      <c r="P330" s="12"/>
      <c r="Q330" s="3"/>
      <c r="R330" s="3"/>
    </row>
    <row r="331" spans="1:18">
      <c r="A331" s="3"/>
      <c r="B331" s="3"/>
      <c r="C331" s="3"/>
      <c r="D331" s="3"/>
      <c r="E331" s="3"/>
      <c r="F331" s="3"/>
      <c r="G331" s="13" t="str">
        <f t="shared" si="15"/>
        <v/>
      </c>
      <c r="H331" s="13" t="str">
        <f t="shared" si="16"/>
        <v/>
      </c>
      <c r="I331" s="13" t="str">
        <f t="shared" si="17"/>
        <v/>
      </c>
      <c r="J331" s="3"/>
      <c r="K331" s="3"/>
      <c r="L331" s="3"/>
      <c r="M331" s="3"/>
      <c r="N331" s="3"/>
      <c r="O331" s="3"/>
      <c r="P331" s="12"/>
      <c r="Q331" s="3"/>
      <c r="R331" s="3"/>
    </row>
    <row r="332" spans="1:18">
      <c r="A332" s="3"/>
      <c r="B332" s="3"/>
      <c r="C332" s="3"/>
      <c r="D332" s="3"/>
      <c r="E332" s="3"/>
      <c r="F332" s="3"/>
      <c r="G332" s="13" t="str">
        <f t="shared" si="15"/>
        <v/>
      </c>
      <c r="H332" s="13" t="str">
        <f t="shared" si="16"/>
        <v/>
      </c>
      <c r="I332" s="13" t="str">
        <f t="shared" si="17"/>
        <v/>
      </c>
      <c r="J332" s="3"/>
      <c r="K332" s="3"/>
      <c r="L332" s="3"/>
      <c r="M332" s="3"/>
      <c r="N332" s="3"/>
      <c r="O332" s="3"/>
      <c r="P332" s="12"/>
      <c r="Q332" s="3"/>
      <c r="R332" s="3"/>
    </row>
    <row r="333" spans="1:18">
      <c r="A333" s="3"/>
      <c r="B333" s="3"/>
      <c r="C333" s="3"/>
      <c r="D333" s="3"/>
      <c r="E333" s="3"/>
      <c r="F333" s="3"/>
      <c r="G333" s="13" t="str">
        <f t="shared" si="15"/>
        <v/>
      </c>
      <c r="H333" s="13" t="str">
        <f t="shared" si="16"/>
        <v/>
      </c>
      <c r="I333" s="13" t="str">
        <f t="shared" si="17"/>
        <v/>
      </c>
      <c r="J333" s="3"/>
      <c r="K333" s="3"/>
      <c r="L333" s="3"/>
      <c r="M333" s="3"/>
      <c r="N333" s="3"/>
      <c r="O333" s="3"/>
      <c r="P333" s="12"/>
      <c r="Q333" s="3"/>
      <c r="R333" s="3"/>
    </row>
    <row r="334" spans="1:18">
      <c r="A334" s="3"/>
      <c r="B334" s="3"/>
      <c r="C334" s="3"/>
      <c r="D334" s="3"/>
      <c r="E334" s="3"/>
      <c r="F334" s="3"/>
      <c r="G334" s="13" t="str">
        <f t="shared" si="15"/>
        <v/>
      </c>
      <c r="H334" s="13" t="str">
        <f t="shared" si="16"/>
        <v/>
      </c>
      <c r="I334" s="13" t="str">
        <f t="shared" si="17"/>
        <v/>
      </c>
      <c r="J334" s="3"/>
      <c r="K334" s="3"/>
      <c r="L334" s="3"/>
      <c r="M334" s="3"/>
      <c r="N334" s="3"/>
      <c r="O334" s="3"/>
      <c r="P334" s="12"/>
      <c r="Q334" s="3"/>
      <c r="R334" s="3"/>
    </row>
    <row r="335" spans="1:18">
      <c r="A335" s="3"/>
      <c r="B335" s="3"/>
      <c r="C335" s="3"/>
      <c r="D335" s="3"/>
      <c r="E335" s="3"/>
      <c r="F335" s="3"/>
      <c r="G335" s="13" t="str">
        <f t="shared" si="15"/>
        <v/>
      </c>
      <c r="H335" s="13" t="str">
        <f t="shared" si="16"/>
        <v/>
      </c>
      <c r="I335" s="13" t="str">
        <f t="shared" si="17"/>
        <v/>
      </c>
      <c r="J335" s="3"/>
      <c r="K335" s="3"/>
      <c r="L335" s="3"/>
      <c r="M335" s="3"/>
      <c r="N335" s="3"/>
      <c r="O335" s="3"/>
      <c r="P335" s="12"/>
      <c r="Q335" s="3"/>
      <c r="R335" s="3"/>
    </row>
    <row r="336" spans="1:18">
      <c r="A336" s="3"/>
      <c r="B336" s="3"/>
      <c r="C336" s="3"/>
      <c r="D336" s="3"/>
      <c r="E336" s="3"/>
      <c r="F336" s="3"/>
      <c r="G336" s="13" t="str">
        <f t="shared" si="15"/>
        <v/>
      </c>
      <c r="H336" s="13" t="str">
        <f t="shared" si="16"/>
        <v/>
      </c>
      <c r="I336" s="13" t="str">
        <f t="shared" si="17"/>
        <v/>
      </c>
      <c r="J336" s="3"/>
      <c r="K336" s="3"/>
      <c r="L336" s="3"/>
      <c r="M336" s="3"/>
      <c r="N336" s="3"/>
      <c r="O336" s="3"/>
      <c r="P336" s="12"/>
      <c r="Q336" s="3"/>
      <c r="R336" s="3"/>
    </row>
    <row r="337" spans="1:18">
      <c r="A337" s="3"/>
      <c r="B337" s="3"/>
      <c r="C337" s="3"/>
      <c r="D337" s="3"/>
      <c r="E337" s="3"/>
      <c r="F337" s="3"/>
      <c r="G337" s="13" t="str">
        <f t="shared" si="15"/>
        <v/>
      </c>
      <c r="H337" s="13" t="str">
        <f t="shared" si="16"/>
        <v/>
      </c>
      <c r="I337" s="13" t="str">
        <f t="shared" si="17"/>
        <v/>
      </c>
      <c r="J337" s="3"/>
      <c r="K337" s="3"/>
      <c r="L337" s="3"/>
      <c r="M337" s="3"/>
      <c r="N337" s="3"/>
      <c r="O337" s="3"/>
      <c r="P337" s="12"/>
      <c r="Q337" s="3"/>
      <c r="R337" s="3"/>
    </row>
    <row r="338" spans="1:18">
      <c r="A338" s="3"/>
      <c r="B338" s="3"/>
      <c r="C338" s="3"/>
      <c r="D338" s="3"/>
      <c r="E338" s="3"/>
      <c r="F338" s="3"/>
      <c r="G338" s="13" t="str">
        <f t="shared" si="15"/>
        <v/>
      </c>
      <c r="H338" s="13" t="str">
        <f t="shared" si="16"/>
        <v/>
      </c>
      <c r="I338" s="13" t="str">
        <f t="shared" si="17"/>
        <v/>
      </c>
      <c r="J338" s="3"/>
      <c r="K338" s="3"/>
      <c r="L338" s="3"/>
      <c r="M338" s="3"/>
      <c r="N338" s="3"/>
      <c r="O338" s="3"/>
      <c r="P338" s="12"/>
      <c r="Q338" s="3"/>
      <c r="R338" s="3"/>
    </row>
    <row r="339" spans="1:18">
      <c r="A339" s="3"/>
      <c r="B339" s="3"/>
      <c r="C339" s="3"/>
      <c r="D339" s="3"/>
      <c r="E339" s="3"/>
      <c r="F339" s="3"/>
      <c r="G339" s="13" t="str">
        <f t="shared" si="15"/>
        <v/>
      </c>
      <c r="H339" s="13" t="str">
        <f t="shared" si="16"/>
        <v/>
      </c>
      <c r="I339" s="13" t="str">
        <f t="shared" si="17"/>
        <v/>
      </c>
      <c r="J339" s="3"/>
      <c r="K339" s="3"/>
      <c r="L339" s="3"/>
      <c r="M339" s="3"/>
      <c r="N339" s="3"/>
      <c r="O339" s="3"/>
      <c r="P339" s="12"/>
      <c r="Q339" s="3"/>
      <c r="R339" s="3"/>
    </row>
    <row r="340" spans="1:18">
      <c r="A340" s="3"/>
      <c r="B340" s="3"/>
      <c r="C340" s="3"/>
      <c r="D340" s="3"/>
      <c r="E340" s="3"/>
      <c r="F340" s="3"/>
      <c r="G340" s="13" t="str">
        <f t="shared" si="15"/>
        <v/>
      </c>
      <c r="H340" s="13" t="str">
        <f t="shared" si="16"/>
        <v/>
      </c>
      <c r="I340" s="13" t="str">
        <f t="shared" si="17"/>
        <v/>
      </c>
      <c r="J340" s="3"/>
      <c r="K340" s="3"/>
      <c r="L340" s="3"/>
      <c r="M340" s="3"/>
      <c r="N340" s="3"/>
      <c r="O340" s="3"/>
      <c r="P340" s="12"/>
      <c r="Q340" s="3"/>
      <c r="R340" s="3"/>
    </row>
    <row r="341" spans="1:18">
      <c r="A341" s="3"/>
      <c r="B341" s="3"/>
      <c r="C341" s="3"/>
      <c r="D341" s="3"/>
      <c r="E341" s="3"/>
      <c r="F341" s="3"/>
      <c r="G341" s="13" t="str">
        <f t="shared" si="15"/>
        <v/>
      </c>
      <c r="H341" s="13" t="str">
        <f t="shared" si="16"/>
        <v/>
      </c>
      <c r="I341" s="13" t="str">
        <f t="shared" si="17"/>
        <v/>
      </c>
      <c r="J341" s="3"/>
      <c r="K341" s="3"/>
      <c r="L341" s="3"/>
      <c r="M341" s="3"/>
      <c r="N341" s="3"/>
      <c r="O341" s="3"/>
      <c r="P341" s="12"/>
      <c r="Q341" s="3"/>
      <c r="R341" s="3"/>
    </row>
    <row r="342" spans="1:18">
      <c r="A342" s="3"/>
      <c r="B342" s="3"/>
      <c r="C342" s="3"/>
      <c r="D342" s="3"/>
      <c r="E342" s="3"/>
      <c r="F342" s="3"/>
      <c r="G342" s="13" t="str">
        <f t="shared" si="15"/>
        <v/>
      </c>
      <c r="H342" s="13" t="str">
        <f t="shared" si="16"/>
        <v/>
      </c>
      <c r="I342" s="13" t="str">
        <f t="shared" si="17"/>
        <v/>
      </c>
      <c r="J342" s="3"/>
      <c r="K342" s="3"/>
      <c r="L342" s="3"/>
      <c r="M342" s="3"/>
      <c r="N342" s="3"/>
      <c r="O342" s="3"/>
      <c r="P342" s="12"/>
      <c r="Q342" s="3"/>
      <c r="R342" s="3"/>
    </row>
    <row r="343" spans="1:18">
      <c r="A343" s="3"/>
      <c r="B343" s="3"/>
      <c r="C343" s="3"/>
      <c r="D343" s="3"/>
      <c r="E343" s="3"/>
      <c r="F343" s="3"/>
      <c r="G343" s="13" t="str">
        <f t="shared" si="15"/>
        <v/>
      </c>
      <c r="H343" s="13" t="str">
        <f t="shared" si="16"/>
        <v/>
      </c>
      <c r="I343" s="13" t="str">
        <f t="shared" si="17"/>
        <v/>
      </c>
      <c r="J343" s="3"/>
      <c r="K343" s="3"/>
      <c r="L343" s="3"/>
      <c r="M343" s="3"/>
      <c r="N343" s="3"/>
      <c r="O343" s="3"/>
      <c r="P343" s="12"/>
      <c r="Q343" s="3"/>
      <c r="R343" s="3"/>
    </row>
    <row r="344" spans="1:18">
      <c r="A344" s="3"/>
      <c r="B344" s="3"/>
      <c r="C344" s="3"/>
      <c r="D344" s="3"/>
      <c r="E344" s="3"/>
      <c r="F344" s="3"/>
      <c r="G344" s="13" t="str">
        <f t="shared" si="15"/>
        <v/>
      </c>
      <c r="H344" s="13" t="str">
        <f t="shared" si="16"/>
        <v/>
      </c>
      <c r="I344" s="13" t="str">
        <f t="shared" si="17"/>
        <v/>
      </c>
      <c r="J344" s="3"/>
      <c r="K344" s="3"/>
      <c r="L344" s="3"/>
      <c r="M344" s="3"/>
      <c r="N344" s="3"/>
      <c r="O344" s="3"/>
      <c r="P344" s="12"/>
      <c r="Q344" s="3"/>
      <c r="R344" s="3"/>
    </row>
    <row r="345" spans="1:18">
      <c r="A345" s="3"/>
      <c r="B345" s="3"/>
      <c r="C345" s="3"/>
      <c r="D345" s="3"/>
      <c r="E345" s="3"/>
      <c r="F345" s="3"/>
      <c r="G345" s="13" t="str">
        <f t="shared" si="15"/>
        <v/>
      </c>
      <c r="H345" s="13" t="str">
        <f t="shared" si="16"/>
        <v/>
      </c>
      <c r="I345" s="13" t="str">
        <f t="shared" si="17"/>
        <v/>
      </c>
      <c r="J345" s="3"/>
      <c r="K345" s="3"/>
      <c r="L345" s="3"/>
      <c r="M345" s="3"/>
      <c r="N345" s="3"/>
      <c r="O345" s="3"/>
      <c r="P345" s="12"/>
      <c r="Q345" s="3"/>
      <c r="R345" s="3"/>
    </row>
    <row r="346" spans="1:18">
      <c r="A346" s="3"/>
      <c r="B346" s="3"/>
      <c r="C346" s="3"/>
      <c r="D346" s="3"/>
      <c r="E346" s="3"/>
      <c r="F346" s="3"/>
      <c r="G346" s="13" t="str">
        <f t="shared" si="15"/>
        <v/>
      </c>
      <c r="H346" s="13" t="str">
        <f t="shared" si="16"/>
        <v/>
      </c>
      <c r="I346" s="13" t="str">
        <f t="shared" si="17"/>
        <v/>
      </c>
      <c r="J346" s="3"/>
      <c r="K346" s="3"/>
      <c r="L346" s="3"/>
      <c r="M346" s="3"/>
      <c r="N346" s="3"/>
      <c r="O346" s="3"/>
      <c r="P346" s="12"/>
      <c r="Q346" s="3"/>
      <c r="R346" s="3"/>
    </row>
    <row r="347" spans="1:18">
      <c r="A347" s="3"/>
      <c r="B347" s="3"/>
      <c r="C347" s="3"/>
      <c r="D347" s="3"/>
      <c r="E347" s="3"/>
      <c r="F347" s="3"/>
      <c r="G347" s="13" t="str">
        <f t="shared" si="15"/>
        <v/>
      </c>
      <c r="H347" s="13" t="str">
        <f t="shared" si="16"/>
        <v/>
      </c>
      <c r="I347" s="13" t="str">
        <f t="shared" si="17"/>
        <v/>
      </c>
      <c r="J347" s="3"/>
      <c r="K347" s="3"/>
      <c r="L347" s="3"/>
      <c r="M347" s="3"/>
      <c r="N347" s="3"/>
      <c r="O347" s="3"/>
      <c r="P347" s="12"/>
      <c r="Q347" s="3"/>
      <c r="R347" s="3"/>
    </row>
    <row r="348" spans="1:18">
      <c r="A348" s="3"/>
      <c r="B348" s="3"/>
      <c r="C348" s="3"/>
      <c r="D348" s="3"/>
      <c r="E348" s="3"/>
      <c r="F348" s="3"/>
      <c r="G348" s="13" t="str">
        <f t="shared" si="15"/>
        <v/>
      </c>
      <c r="H348" s="13" t="str">
        <f t="shared" si="16"/>
        <v/>
      </c>
      <c r="I348" s="13" t="str">
        <f t="shared" si="17"/>
        <v/>
      </c>
      <c r="J348" s="3"/>
      <c r="K348" s="3"/>
      <c r="L348" s="3"/>
      <c r="M348" s="3"/>
      <c r="N348" s="3"/>
      <c r="O348" s="3"/>
      <c r="P348" s="12"/>
      <c r="Q348" s="3"/>
      <c r="R348" s="3"/>
    </row>
    <row r="349" spans="1:18">
      <c r="A349" s="3"/>
      <c r="B349" s="3"/>
      <c r="C349" s="3"/>
      <c r="D349" s="3"/>
      <c r="E349" s="3"/>
      <c r="F349" s="3"/>
      <c r="G349" s="13" t="str">
        <f t="shared" si="15"/>
        <v/>
      </c>
      <c r="H349" s="13" t="str">
        <f t="shared" si="16"/>
        <v/>
      </c>
      <c r="I349" s="13" t="str">
        <f t="shared" si="17"/>
        <v/>
      </c>
      <c r="J349" s="3"/>
      <c r="K349" s="3"/>
      <c r="L349" s="3"/>
      <c r="M349" s="3"/>
      <c r="N349" s="3"/>
      <c r="O349" s="3"/>
      <c r="P349" s="12"/>
      <c r="Q349" s="3"/>
      <c r="R349" s="3"/>
    </row>
    <row r="350" spans="1:18">
      <c r="A350" s="3"/>
      <c r="B350" s="3"/>
      <c r="C350" s="3"/>
      <c r="D350" s="3"/>
      <c r="E350" s="3"/>
      <c r="F350" s="3"/>
      <c r="G350" s="13" t="str">
        <f t="shared" si="15"/>
        <v/>
      </c>
      <c r="H350" s="13" t="str">
        <f t="shared" si="16"/>
        <v/>
      </c>
      <c r="I350" s="13" t="str">
        <f t="shared" si="17"/>
        <v/>
      </c>
      <c r="J350" s="3"/>
      <c r="K350" s="3"/>
      <c r="L350" s="3"/>
      <c r="M350" s="3"/>
      <c r="N350" s="3"/>
      <c r="O350" s="3"/>
      <c r="P350" s="12"/>
      <c r="Q350" s="3"/>
      <c r="R350" s="3"/>
    </row>
    <row r="351" spans="1:18">
      <c r="A351" s="3"/>
      <c r="B351" s="3"/>
      <c r="C351" s="3"/>
      <c r="D351" s="3"/>
      <c r="E351" s="3"/>
      <c r="F351" s="3"/>
      <c r="G351" s="13" t="str">
        <f t="shared" si="15"/>
        <v/>
      </c>
      <c r="H351" s="13" t="str">
        <f t="shared" si="16"/>
        <v/>
      </c>
      <c r="I351" s="13" t="str">
        <f t="shared" si="17"/>
        <v/>
      </c>
      <c r="J351" s="3"/>
      <c r="K351" s="3"/>
      <c r="L351" s="3"/>
      <c r="M351" s="3"/>
      <c r="N351" s="3"/>
      <c r="O351" s="3"/>
      <c r="P351" s="12"/>
      <c r="Q351" s="3"/>
      <c r="R351" s="3"/>
    </row>
    <row r="352" spans="1:18">
      <c r="A352" s="3"/>
      <c r="B352" s="3"/>
      <c r="C352" s="3"/>
      <c r="D352" s="3"/>
      <c r="E352" s="3"/>
      <c r="F352" s="3"/>
      <c r="G352" s="13" t="str">
        <f t="shared" si="15"/>
        <v/>
      </c>
      <c r="H352" s="13" t="str">
        <f t="shared" si="16"/>
        <v/>
      </c>
      <c r="I352" s="13" t="str">
        <f t="shared" si="17"/>
        <v/>
      </c>
      <c r="J352" s="3"/>
      <c r="K352" s="3"/>
      <c r="L352" s="3"/>
      <c r="M352" s="3"/>
      <c r="N352" s="3"/>
      <c r="O352" s="3"/>
      <c r="P352" s="12"/>
      <c r="Q352" s="3"/>
      <c r="R352" s="3"/>
    </row>
    <row r="353" spans="1:18">
      <c r="A353" s="3"/>
      <c r="B353" s="3"/>
      <c r="C353" s="3"/>
      <c r="D353" s="3"/>
      <c r="E353" s="3"/>
      <c r="F353" s="3"/>
      <c r="G353" s="13" t="str">
        <f t="shared" si="15"/>
        <v/>
      </c>
      <c r="H353" s="13" t="str">
        <f t="shared" si="16"/>
        <v/>
      </c>
      <c r="I353" s="13" t="str">
        <f t="shared" si="17"/>
        <v/>
      </c>
      <c r="J353" s="3"/>
      <c r="K353" s="3"/>
      <c r="L353" s="3"/>
      <c r="M353" s="3"/>
      <c r="N353" s="3"/>
      <c r="O353" s="3"/>
      <c r="P353" s="12"/>
      <c r="Q353" s="3"/>
      <c r="R353" s="3"/>
    </row>
    <row r="354" spans="1:18">
      <c r="A354" s="3"/>
      <c r="B354" s="3"/>
      <c r="C354" s="3"/>
      <c r="D354" s="3"/>
      <c r="E354" s="3"/>
      <c r="F354" s="3"/>
      <c r="G354" s="13" t="str">
        <f t="shared" si="15"/>
        <v/>
      </c>
      <c r="H354" s="13" t="str">
        <f t="shared" si="16"/>
        <v/>
      </c>
      <c r="I354" s="13" t="str">
        <f t="shared" si="17"/>
        <v/>
      </c>
      <c r="J354" s="3"/>
      <c r="K354" s="3"/>
      <c r="L354" s="3"/>
      <c r="M354" s="3"/>
      <c r="N354" s="3"/>
      <c r="O354" s="3"/>
      <c r="P354" s="12"/>
      <c r="Q354" s="3"/>
      <c r="R354" s="3"/>
    </row>
    <row r="355" spans="1:18">
      <c r="A355" s="3"/>
      <c r="B355" s="3"/>
      <c r="C355" s="3"/>
      <c r="D355" s="3"/>
      <c r="E355" s="3"/>
      <c r="F355" s="3"/>
      <c r="G355" s="13" t="str">
        <f t="shared" si="15"/>
        <v/>
      </c>
      <c r="H355" s="13" t="str">
        <f t="shared" si="16"/>
        <v/>
      </c>
      <c r="I355" s="13" t="str">
        <f t="shared" si="17"/>
        <v/>
      </c>
      <c r="J355" s="3"/>
      <c r="K355" s="3"/>
      <c r="L355" s="3"/>
      <c r="M355" s="3"/>
      <c r="N355" s="3"/>
      <c r="O355" s="3"/>
      <c r="P355" s="12"/>
      <c r="Q355" s="3"/>
      <c r="R355" s="3"/>
    </row>
    <row r="356" spans="1:18">
      <c r="A356" s="3"/>
      <c r="B356" s="3"/>
      <c r="C356" s="3"/>
      <c r="D356" s="3"/>
      <c r="E356" s="3"/>
      <c r="F356" s="3"/>
      <c r="G356" s="13" t="str">
        <f t="shared" si="15"/>
        <v/>
      </c>
      <c r="H356" s="13" t="str">
        <f t="shared" si="16"/>
        <v/>
      </c>
      <c r="I356" s="13" t="str">
        <f t="shared" si="17"/>
        <v/>
      </c>
      <c r="J356" s="3"/>
      <c r="K356" s="3"/>
      <c r="L356" s="3"/>
      <c r="M356" s="3"/>
      <c r="N356" s="3"/>
      <c r="O356" s="3"/>
      <c r="P356" s="12"/>
      <c r="Q356" s="3"/>
      <c r="R356" s="3"/>
    </row>
    <row r="357" spans="1:18">
      <c r="A357" s="3"/>
      <c r="B357" s="3"/>
      <c r="C357" s="3"/>
      <c r="D357" s="3"/>
      <c r="E357" s="3"/>
      <c r="F357" s="3"/>
      <c r="G357" s="13" t="str">
        <f t="shared" si="15"/>
        <v/>
      </c>
      <c r="H357" s="13" t="str">
        <f t="shared" si="16"/>
        <v/>
      </c>
      <c r="I357" s="13" t="str">
        <f t="shared" si="17"/>
        <v/>
      </c>
      <c r="J357" s="3"/>
      <c r="K357" s="3"/>
      <c r="L357" s="3"/>
      <c r="M357" s="3"/>
      <c r="N357" s="3"/>
      <c r="O357" s="3"/>
      <c r="P357" s="12"/>
      <c r="Q357" s="3"/>
      <c r="R357" s="3"/>
    </row>
    <row r="358" spans="1:18">
      <c r="A358" s="3"/>
      <c r="B358" s="3"/>
      <c r="C358" s="3"/>
      <c r="D358" s="3"/>
      <c r="E358" s="3"/>
      <c r="F358" s="3"/>
      <c r="G358" s="13" t="str">
        <f t="shared" si="15"/>
        <v/>
      </c>
      <c r="H358" s="13" t="str">
        <f t="shared" si="16"/>
        <v/>
      </c>
      <c r="I358" s="13" t="str">
        <f t="shared" si="17"/>
        <v/>
      </c>
      <c r="J358" s="3"/>
      <c r="K358" s="3"/>
      <c r="L358" s="3"/>
      <c r="M358" s="3"/>
      <c r="N358" s="3"/>
      <c r="O358" s="3"/>
      <c r="P358" s="12"/>
      <c r="Q358" s="3"/>
      <c r="R358" s="3"/>
    </row>
    <row r="359" spans="1:18">
      <c r="A359" s="3"/>
      <c r="B359" s="3"/>
      <c r="C359" s="3"/>
      <c r="D359" s="3"/>
      <c r="E359" s="3"/>
      <c r="F359" s="3"/>
      <c r="G359" s="13" t="str">
        <f t="shared" si="15"/>
        <v/>
      </c>
      <c r="H359" s="13" t="str">
        <f t="shared" si="16"/>
        <v/>
      </c>
      <c r="I359" s="13" t="str">
        <f t="shared" si="17"/>
        <v/>
      </c>
      <c r="J359" s="3"/>
      <c r="K359" s="3"/>
      <c r="L359" s="3"/>
      <c r="M359" s="3"/>
      <c r="N359" s="3"/>
      <c r="O359" s="3"/>
      <c r="P359" s="12"/>
      <c r="Q359" s="3"/>
      <c r="R359" s="3"/>
    </row>
    <row r="360" spans="1:18">
      <c r="A360" s="3"/>
      <c r="B360" s="3"/>
      <c r="C360" s="3"/>
      <c r="D360" s="3"/>
      <c r="E360" s="3"/>
      <c r="F360" s="3"/>
      <c r="G360" s="13" t="str">
        <f t="shared" si="15"/>
        <v/>
      </c>
      <c r="H360" s="13" t="str">
        <f t="shared" si="16"/>
        <v/>
      </c>
      <c r="I360" s="13" t="str">
        <f t="shared" si="17"/>
        <v/>
      </c>
      <c r="J360" s="3"/>
      <c r="K360" s="3"/>
      <c r="L360" s="3"/>
      <c r="M360" s="3"/>
      <c r="N360" s="3"/>
      <c r="O360" s="3"/>
      <c r="P360" s="12"/>
      <c r="Q360" s="3"/>
      <c r="R360" s="3"/>
    </row>
    <row r="361" spans="1:18">
      <c r="A361" s="3"/>
      <c r="B361" s="3"/>
      <c r="C361" s="3"/>
      <c r="D361" s="3"/>
      <c r="E361" s="3"/>
      <c r="F361" s="3"/>
      <c r="G361" s="13" t="str">
        <f t="shared" si="15"/>
        <v/>
      </c>
      <c r="H361" s="13" t="str">
        <f t="shared" si="16"/>
        <v/>
      </c>
      <c r="I361" s="13" t="str">
        <f t="shared" si="17"/>
        <v/>
      </c>
      <c r="J361" s="3"/>
      <c r="K361" s="3"/>
      <c r="L361" s="3"/>
      <c r="M361" s="3"/>
      <c r="N361" s="3"/>
      <c r="O361" s="3"/>
      <c r="P361" s="12"/>
      <c r="Q361" s="3"/>
      <c r="R361" s="3"/>
    </row>
    <row r="362" spans="1:18">
      <c r="A362" s="3"/>
      <c r="B362" s="3"/>
      <c r="C362" s="3"/>
      <c r="D362" s="3"/>
      <c r="E362" s="3"/>
      <c r="F362" s="3"/>
      <c r="G362" s="13" t="str">
        <f t="shared" si="15"/>
        <v/>
      </c>
      <c r="H362" s="13" t="str">
        <f t="shared" si="16"/>
        <v/>
      </c>
      <c r="I362" s="13" t="str">
        <f t="shared" si="17"/>
        <v/>
      </c>
      <c r="J362" s="3"/>
      <c r="K362" s="3"/>
      <c r="L362" s="3"/>
      <c r="M362" s="3"/>
      <c r="N362" s="3"/>
      <c r="O362" s="3"/>
      <c r="P362" s="12"/>
      <c r="Q362" s="3"/>
      <c r="R362" s="3"/>
    </row>
    <row r="363" spans="1:18">
      <c r="A363" s="3"/>
      <c r="B363" s="3"/>
      <c r="C363" s="3"/>
      <c r="D363" s="3"/>
      <c r="E363" s="3"/>
      <c r="F363" s="3"/>
      <c r="G363" s="13" t="str">
        <f t="shared" si="15"/>
        <v/>
      </c>
      <c r="H363" s="13" t="str">
        <f t="shared" si="16"/>
        <v/>
      </c>
      <c r="I363" s="13" t="str">
        <f t="shared" si="17"/>
        <v/>
      </c>
      <c r="J363" s="3"/>
      <c r="K363" s="3"/>
      <c r="L363" s="3"/>
      <c r="M363" s="3"/>
      <c r="N363" s="3"/>
      <c r="O363" s="3"/>
      <c r="P363" s="12"/>
      <c r="Q363" s="3"/>
      <c r="R363" s="3"/>
    </row>
    <row r="364" spans="1:18">
      <c r="A364" s="3"/>
      <c r="B364" s="3"/>
      <c r="C364" s="3"/>
      <c r="D364" s="3"/>
      <c r="E364" s="3"/>
      <c r="F364" s="3"/>
      <c r="G364" s="13" t="str">
        <f t="shared" si="15"/>
        <v/>
      </c>
      <c r="H364" s="13" t="str">
        <f t="shared" si="16"/>
        <v/>
      </c>
      <c r="I364" s="13" t="str">
        <f t="shared" si="17"/>
        <v/>
      </c>
      <c r="J364" s="3"/>
      <c r="K364" s="3"/>
      <c r="L364" s="3"/>
      <c r="M364" s="3"/>
      <c r="N364" s="3"/>
      <c r="O364" s="3"/>
      <c r="P364" s="12"/>
      <c r="Q364" s="3"/>
      <c r="R364" s="3"/>
    </row>
    <row r="365" spans="1:18">
      <c r="A365" s="3"/>
      <c r="B365" s="3"/>
      <c r="C365" s="3"/>
      <c r="D365" s="3"/>
      <c r="E365" s="3"/>
      <c r="F365" s="3"/>
      <c r="G365" s="13" t="str">
        <f t="shared" si="15"/>
        <v/>
      </c>
      <c r="H365" s="13" t="str">
        <f t="shared" si="16"/>
        <v/>
      </c>
      <c r="I365" s="13" t="str">
        <f t="shared" si="17"/>
        <v/>
      </c>
      <c r="J365" s="3"/>
      <c r="K365" s="3"/>
      <c r="L365" s="3"/>
      <c r="M365" s="3"/>
      <c r="N365" s="3"/>
      <c r="O365" s="3"/>
      <c r="P365" s="12"/>
      <c r="Q365" s="3"/>
      <c r="R365" s="3"/>
    </row>
    <row r="366" spans="1:18">
      <c r="A366" s="3"/>
      <c r="B366" s="3"/>
      <c r="C366" s="3"/>
      <c r="D366" s="3"/>
      <c r="E366" s="3"/>
      <c r="F366" s="3"/>
      <c r="G366" s="13" t="str">
        <f t="shared" si="15"/>
        <v/>
      </c>
      <c r="H366" s="13" t="str">
        <f t="shared" si="16"/>
        <v/>
      </c>
      <c r="I366" s="13" t="str">
        <f t="shared" si="17"/>
        <v/>
      </c>
      <c r="J366" s="3"/>
      <c r="K366" s="3"/>
      <c r="L366" s="3"/>
      <c r="M366" s="3"/>
      <c r="N366" s="3"/>
      <c r="O366" s="3"/>
      <c r="P366" s="12"/>
      <c r="Q366" s="3"/>
      <c r="R366" s="3"/>
    </row>
    <row r="367" spans="1:18">
      <c r="A367" s="3"/>
      <c r="B367" s="3"/>
      <c r="C367" s="3"/>
      <c r="D367" s="3"/>
      <c r="E367" s="3"/>
      <c r="F367" s="3"/>
      <c r="G367" s="13" t="str">
        <f t="shared" si="15"/>
        <v/>
      </c>
      <c r="H367" s="13" t="str">
        <f t="shared" si="16"/>
        <v/>
      </c>
      <c r="I367" s="13" t="str">
        <f t="shared" si="17"/>
        <v/>
      </c>
      <c r="J367" s="3"/>
      <c r="K367" s="3"/>
      <c r="L367" s="3"/>
      <c r="M367" s="3"/>
      <c r="N367" s="3"/>
      <c r="O367" s="3"/>
      <c r="P367" s="12"/>
      <c r="Q367" s="3"/>
      <c r="R367" s="3"/>
    </row>
    <row r="368" spans="1:18">
      <c r="A368" s="3"/>
      <c r="B368" s="3"/>
      <c r="C368" s="3"/>
      <c r="D368" s="3"/>
      <c r="E368" s="3"/>
      <c r="F368" s="3"/>
      <c r="G368" s="13" t="str">
        <f t="shared" si="15"/>
        <v/>
      </c>
      <c r="H368" s="13" t="str">
        <f t="shared" si="16"/>
        <v/>
      </c>
      <c r="I368" s="13" t="str">
        <f t="shared" si="17"/>
        <v/>
      </c>
      <c r="J368" s="3"/>
      <c r="K368" s="3"/>
      <c r="L368" s="3"/>
      <c r="M368" s="3"/>
      <c r="N368" s="3"/>
      <c r="O368" s="3"/>
      <c r="P368" s="12"/>
      <c r="Q368" s="3"/>
      <c r="R368" s="3"/>
    </row>
    <row r="369" spans="1:18">
      <c r="A369" s="3"/>
      <c r="B369" s="3"/>
      <c r="C369" s="3"/>
      <c r="D369" s="3"/>
      <c r="E369" s="3"/>
      <c r="F369" s="3"/>
      <c r="G369" s="13" t="str">
        <f t="shared" si="15"/>
        <v/>
      </c>
      <c r="H369" s="13" t="str">
        <f t="shared" si="16"/>
        <v/>
      </c>
      <c r="I369" s="13" t="str">
        <f t="shared" si="17"/>
        <v/>
      </c>
      <c r="J369" s="3"/>
      <c r="K369" s="3"/>
      <c r="L369" s="3"/>
      <c r="M369" s="3"/>
      <c r="N369" s="3"/>
      <c r="O369" s="3"/>
      <c r="P369" s="12"/>
      <c r="Q369" s="3"/>
      <c r="R369" s="3"/>
    </row>
    <row r="370" spans="1:18">
      <c r="A370" s="3"/>
      <c r="B370" s="3"/>
      <c r="C370" s="3"/>
      <c r="D370" s="3"/>
      <c r="E370" s="3"/>
      <c r="F370" s="3"/>
      <c r="G370" s="13" t="str">
        <f t="shared" si="15"/>
        <v/>
      </c>
      <c r="H370" s="13" t="str">
        <f t="shared" si="16"/>
        <v/>
      </c>
      <c r="I370" s="13" t="str">
        <f t="shared" si="17"/>
        <v/>
      </c>
      <c r="J370" s="3"/>
      <c r="K370" s="3"/>
      <c r="L370" s="3"/>
      <c r="M370" s="3"/>
      <c r="N370" s="3"/>
      <c r="O370" s="3"/>
      <c r="P370" s="12"/>
      <c r="Q370" s="3"/>
      <c r="R370" s="3"/>
    </row>
    <row r="371" spans="1:18">
      <c r="A371" s="3"/>
      <c r="B371" s="3"/>
      <c r="C371" s="3"/>
      <c r="D371" s="3"/>
      <c r="E371" s="3"/>
      <c r="F371" s="3"/>
      <c r="G371" s="13" t="str">
        <f t="shared" si="15"/>
        <v/>
      </c>
      <c r="H371" s="13" t="str">
        <f t="shared" si="16"/>
        <v/>
      </c>
      <c r="I371" s="13" t="str">
        <f t="shared" si="17"/>
        <v/>
      </c>
      <c r="J371" s="3"/>
      <c r="K371" s="3"/>
      <c r="L371" s="3"/>
      <c r="M371" s="3"/>
      <c r="N371" s="3"/>
      <c r="O371" s="3"/>
      <c r="P371" s="12"/>
      <c r="Q371" s="3"/>
      <c r="R371" s="3"/>
    </row>
    <row r="372" spans="1:18">
      <c r="A372" s="3"/>
      <c r="B372" s="3"/>
      <c r="C372" s="3"/>
      <c r="D372" s="3"/>
      <c r="E372" s="3"/>
      <c r="F372" s="3"/>
      <c r="G372" s="13" t="str">
        <f t="shared" si="15"/>
        <v/>
      </c>
      <c r="H372" s="13" t="str">
        <f t="shared" si="16"/>
        <v/>
      </c>
      <c r="I372" s="13" t="str">
        <f t="shared" si="17"/>
        <v/>
      </c>
      <c r="J372" s="3"/>
      <c r="K372" s="3"/>
      <c r="L372" s="3"/>
      <c r="M372" s="3"/>
      <c r="N372" s="3"/>
      <c r="O372" s="3"/>
      <c r="P372" s="12"/>
      <c r="Q372" s="3"/>
      <c r="R372" s="3"/>
    </row>
    <row r="373" spans="1:18">
      <c r="A373" s="3"/>
      <c r="B373" s="3"/>
      <c r="C373" s="3"/>
      <c r="D373" s="3"/>
      <c r="E373" s="3"/>
      <c r="F373" s="3"/>
      <c r="G373" s="13" t="str">
        <f t="shared" si="15"/>
        <v/>
      </c>
      <c r="H373" s="13" t="str">
        <f t="shared" si="16"/>
        <v/>
      </c>
      <c r="I373" s="13" t="str">
        <f t="shared" si="17"/>
        <v/>
      </c>
      <c r="J373" s="3"/>
      <c r="K373" s="3"/>
      <c r="L373" s="3"/>
      <c r="M373" s="3"/>
      <c r="N373" s="3"/>
      <c r="O373" s="3"/>
      <c r="P373" s="12"/>
      <c r="Q373" s="3"/>
      <c r="R373" s="3"/>
    </row>
    <row r="374" spans="1:18">
      <c r="A374" s="3"/>
      <c r="B374" s="3"/>
      <c r="C374" s="3"/>
      <c r="D374" s="3"/>
      <c r="E374" s="3"/>
      <c r="F374" s="3"/>
      <c r="G374" s="13" t="str">
        <f t="shared" si="15"/>
        <v/>
      </c>
      <c r="H374" s="13" t="str">
        <f t="shared" si="16"/>
        <v/>
      </c>
      <c r="I374" s="13" t="str">
        <f t="shared" si="17"/>
        <v/>
      </c>
      <c r="J374" s="3"/>
      <c r="K374" s="3"/>
      <c r="L374" s="3"/>
      <c r="M374" s="3"/>
      <c r="N374" s="3"/>
      <c r="O374" s="3"/>
      <c r="P374" s="12"/>
      <c r="Q374" s="3"/>
      <c r="R374" s="3"/>
    </row>
    <row r="375" spans="1:18">
      <c r="A375" s="3"/>
      <c r="B375" s="3"/>
      <c r="C375" s="3"/>
      <c r="D375" s="3"/>
      <c r="E375" s="3"/>
      <c r="F375" s="3"/>
      <c r="G375" s="13" t="str">
        <f t="shared" si="15"/>
        <v/>
      </c>
      <c r="H375" s="13" t="str">
        <f t="shared" si="16"/>
        <v/>
      </c>
      <c r="I375" s="13" t="str">
        <f t="shared" si="17"/>
        <v/>
      </c>
      <c r="J375" s="3"/>
      <c r="K375" s="3"/>
      <c r="L375" s="3"/>
      <c r="M375" s="3"/>
      <c r="N375" s="3"/>
      <c r="O375" s="3"/>
      <c r="P375" s="12"/>
      <c r="Q375" s="3"/>
      <c r="R375" s="3"/>
    </row>
    <row r="376" spans="1:18">
      <c r="A376" s="3"/>
      <c r="B376" s="3"/>
      <c r="C376" s="3"/>
      <c r="D376" s="3"/>
      <c r="E376" s="3"/>
      <c r="F376" s="3"/>
      <c r="G376" s="13" t="str">
        <f t="shared" si="15"/>
        <v/>
      </c>
      <c r="H376" s="13" t="str">
        <f t="shared" si="16"/>
        <v/>
      </c>
      <c r="I376" s="13" t="str">
        <f t="shared" si="17"/>
        <v/>
      </c>
      <c r="J376" s="3"/>
      <c r="K376" s="3"/>
      <c r="L376" s="3"/>
      <c r="M376" s="3"/>
      <c r="N376" s="3"/>
      <c r="O376" s="3"/>
      <c r="P376" s="12"/>
      <c r="Q376" s="3"/>
      <c r="R376" s="3"/>
    </row>
    <row r="377" spans="1:18">
      <c r="A377" s="3"/>
      <c r="B377" s="3"/>
      <c r="C377" s="3"/>
      <c r="D377" s="3"/>
      <c r="E377" s="3"/>
      <c r="F377" s="3"/>
      <c r="G377" s="13" t="str">
        <f t="shared" si="15"/>
        <v/>
      </c>
      <c r="H377" s="13" t="str">
        <f t="shared" si="16"/>
        <v/>
      </c>
      <c r="I377" s="13" t="str">
        <f t="shared" si="17"/>
        <v/>
      </c>
      <c r="J377" s="3"/>
      <c r="K377" s="3"/>
      <c r="L377" s="3"/>
      <c r="M377" s="3"/>
      <c r="N377" s="3"/>
      <c r="O377" s="3"/>
      <c r="P377" s="12"/>
      <c r="Q377" s="3"/>
      <c r="R377" s="3"/>
    </row>
    <row r="378" spans="1:18">
      <c r="A378" s="3"/>
      <c r="B378" s="3"/>
      <c r="C378" s="3"/>
      <c r="D378" s="3"/>
      <c r="E378" s="3"/>
      <c r="F378" s="3"/>
      <c r="G378" s="13" t="str">
        <f t="shared" si="15"/>
        <v/>
      </c>
      <c r="H378" s="13" t="str">
        <f t="shared" si="16"/>
        <v/>
      </c>
      <c r="I378" s="13" t="str">
        <f t="shared" si="17"/>
        <v/>
      </c>
      <c r="J378" s="3"/>
      <c r="K378" s="3"/>
      <c r="L378" s="3"/>
      <c r="M378" s="3"/>
      <c r="N378" s="3"/>
      <c r="O378" s="3"/>
      <c r="P378" s="12"/>
      <c r="Q378" s="3"/>
      <c r="R378" s="3"/>
    </row>
    <row r="379" spans="1:18">
      <c r="A379" s="3"/>
      <c r="B379" s="3"/>
      <c r="C379" s="3"/>
      <c r="D379" s="3"/>
      <c r="E379" s="3"/>
      <c r="F379" s="3"/>
      <c r="G379" s="13" t="str">
        <f t="shared" si="15"/>
        <v/>
      </c>
      <c r="H379" s="13" t="str">
        <f t="shared" si="16"/>
        <v/>
      </c>
      <c r="I379" s="13" t="str">
        <f t="shared" si="17"/>
        <v/>
      </c>
      <c r="J379" s="3"/>
      <c r="K379" s="3"/>
      <c r="L379" s="3"/>
      <c r="M379" s="3"/>
      <c r="N379" s="3"/>
      <c r="O379" s="3"/>
      <c r="P379" s="12"/>
      <c r="Q379" s="3"/>
      <c r="R379" s="3"/>
    </row>
    <row r="380" spans="1:18">
      <c r="A380" s="3"/>
      <c r="B380" s="3"/>
      <c r="C380" s="3"/>
      <c r="D380" s="3"/>
      <c r="E380" s="3"/>
      <c r="F380" s="3"/>
      <c r="G380" s="13" t="str">
        <f t="shared" si="15"/>
        <v/>
      </c>
      <c r="H380" s="13" t="str">
        <f t="shared" si="16"/>
        <v/>
      </c>
      <c r="I380" s="13" t="str">
        <f t="shared" si="17"/>
        <v/>
      </c>
      <c r="J380" s="3"/>
      <c r="K380" s="3"/>
      <c r="L380" s="3"/>
      <c r="M380" s="3"/>
      <c r="N380" s="3"/>
      <c r="O380" s="3"/>
      <c r="P380" s="12"/>
      <c r="Q380" s="3"/>
      <c r="R380" s="3"/>
    </row>
    <row r="381" spans="1:18">
      <c r="A381" s="3"/>
      <c r="B381" s="3"/>
      <c r="C381" s="3"/>
      <c r="D381" s="3"/>
      <c r="E381" s="3"/>
      <c r="F381" s="3"/>
      <c r="G381" s="13" t="str">
        <f t="shared" si="15"/>
        <v/>
      </c>
      <c r="H381" s="13" t="str">
        <f t="shared" si="16"/>
        <v/>
      </c>
      <c r="I381" s="13" t="str">
        <f t="shared" si="17"/>
        <v/>
      </c>
      <c r="J381" s="3"/>
      <c r="K381" s="3"/>
      <c r="L381" s="3"/>
      <c r="M381" s="3"/>
      <c r="N381" s="3"/>
      <c r="O381" s="3"/>
      <c r="P381" s="12"/>
      <c r="Q381" s="3"/>
      <c r="R381" s="3"/>
    </row>
    <row r="382" spans="1:18">
      <c r="A382" s="3"/>
      <c r="B382" s="3"/>
      <c r="C382" s="3"/>
      <c r="D382" s="3"/>
      <c r="E382" s="3"/>
      <c r="F382" s="3"/>
      <c r="G382" s="13" t="str">
        <f t="shared" si="15"/>
        <v/>
      </c>
      <c r="H382" s="13" t="str">
        <f t="shared" si="16"/>
        <v/>
      </c>
      <c r="I382" s="13" t="str">
        <f t="shared" si="17"/>
        <v/>
      </c>
      <c r="J382" s="3"/>
      <c r="K382" s="3"/>
      <c r="L382" s="3"/>
      <c r="M382" s="3"/>
      <c r="N382" s="3"/>
      <c r="O382" s="3"/>
      <c r="P382" s="12"/>
      <c r="Q382" s="3"/>
      <c r="R382" s="3"/>
    </row>
    <row r="383" spans="1:18">
      <c r="A383" s="3"/>
      <c r="B383" s="3"/>
      <c r="C383" s="3"/>
      <c r="D383" s="3"/>
      <c r="E383" s="3"/>
      <c r="F383" s="3"/>
      <c r="G383" s="13" t="str">
        <f t="shared" si="15"/>
        <v/>
      </c>
      <c r="H383" s="13" t="str">
        <f t="shared" si="16"/>
        <v/>
      </c>
      <c r="I383" s="13" t="str">
        <f t="shared" si="17"/>
        <v/>
      </c>
      <c r="J383" s="3"/>
      <c r="K383" s="3"/>
      <c r="L383" s="3"/>
      <c r="M383" s="3"/>
      <c r="N383" s="3"/>
      <c r="O383" s="3"/>
      <c r="P383" s="12"/>
      <c r="Q383" s="3"/>
      <c r="R383" s="3"/>
    </row>
    <row r="384" spans="1:18">
      <c r="A384" s="3"/>
      <c r="B384" s="3"/>
      <c r="C384" s="3"/>
      <c r="D384" s="3"/>
      <c r="E384" s="3"/>
      <c r="F384" s="3"/>
      <c r="G384" s="13" t="str">
        <f t="shared" si="15"/>
        <v/>
      </c>
      <c r="H384" s="13" t="str">
        <f t="shared" si="16"/>
        <v/>
      </c>
      <c r="I384" s="13" t="str">
        <f t="shared" si="17"/>
        <v/>
      </c>
      <c r="J384" s="3"/>
      <c r="K384" s="3"/>
      <c r="L384" s="3"/>
      <c r="M384" s="3"/>
      <c r="N384" s="3"/>
      <c r="O384" s="3"/>
      <c r="P384" s="12"/>
      <c r="Q384" s="3"/>
      <c r="R384" s="3"/>
    </row>
    <row r="385" spans="1:18">
      <c r="A385" s="3"/>
      <c r="B385" s="3"/>
      <c r="C385" s="3"/>
      <c r="D385" s="3"/>
      <c r="E385" s="3"/>
      <c r="F385" s="3"/>
      <c r="G385" s="13" t="str">
        <f t="shared" si="15"/>
        <v/>
      </c>
      <c r="H385" s="13" t="str">
        <f t="shared" si="16"/>
        <v/>
      </c>
      <c r="I385" s="13" t="str">
        <f t="shared" si="17"/>
        <v/>
      </c>
      <c r="J385" s="3"/>
      <c r="K385" s="3"/>
      <c r="L385" s="3"/>
      <c r="M385" s="3"/>
      <c r="N385" s="3"/>
      <c r="O385" s="3"/>
      <c r="P385" s="12"/>
      <c r="Q385" s="3"/>
      <c r="R385" s="3"/>
    </row>
    <row r="386" spans="1:18">
      <c r="A386" s="3"/>
      <c r="B386" s="3"/>
      <c r="C386" s="3"/>
      <c r="D386" s="3"/>
      <c r="E386" s="3"/>
      <c r="F386" s="3"/>
      <c r="G386" s="13" t="str">
        <f t="shared" si="15"/>
        <v/>
      </c>
      <c r="H386" s="13" t="str">
        <f t="shared" si="16"/>
        <v/>
      </c>
      <c r="I386" s="13" t="str">
        <f t="shared" si="17"/>
        <v/>
      </c>
      <c r="J386" s="3"/>
      <c r="K386" s="3"/>
      <c r="L386" s="3"/>
      <c r="M386" s="3"/>
      <c r="N386" s="3"/>
      <c r="O386" s="3"/>
      <c r="P386" s="12"/>
      <c r="Q386" s="3"/>
      <c r="R386" s="3"/>
    </row>
    <row r="387" spans="1:18">
      <c r="A387" s="3"/>
      <c r="B387" s="3"/>
      <c r="C387" s="3"/>
      <c r="D387" s="3"/>
      <c r="E387" s="3"/>
      <c r="F387" s="3"/>
      <c r="G387" s="13" t="str">
        <f t="shared" ref="G387:G450" si="18">IF(E387="","",E387/5)</f>
        <v/>
      </c>
      <c r="H387" s="13" t="str">
        <f t="shared" ref="H387:H450" si="19">IF(E387="","",E387/6)</f>
        <v/>
      </c>
      <c r="I387" s="13" t="str">
        <f t="shared" ref="I387:I450" si="20">IF(E387="","",E387/7)</f>
        <v/>
      </c>
      <c r="J387" s="3"/>
      <c r="K387" s="3"/>
      <c r="L387" s="3"/>
      <c r="M387" s="3"/>
      <c r="N387" s="3"/>
      <c r="O387" s="3"/>
      <c r="P387" s="12"/>
      <c r="Q387" s="3"/>
      <c r="R387" s="3"/>
    </row>
    <row r="388" spans="1:18">
      <c r="A388" s="3"/>
      <c r="B388" s="3"/>
      <c r="C388" s="3"/>
      <c r="D388" s="3"/>
      <c r="E388" s="3"/>
      <c r="F388" s="3"/>
      <c r="G388" s="13" t="str">
        <f t="shared" si="18"/>
        <v/>
      </c>
      <c r="H388" s="13" t="str">
        <f t="shared" si="19"/>
        <v/>
      </c>
      <c r="I388" s="13" t="str">
        <f t="shared" si="20"/>
        <v/>
      </c>
      <c r="J388" s="3"/>
      <c r="K388" s="3"/>
      <c r="L388" s="3"/>
      <c r="M388" s="3"/>
      <c r="N388" s="3"/>
      <c r="O388" s="3"/>
      <c r="P388" s="12"/>
      <c r="Q388" s="3"/>
      <c r="R388" s="3"/>
    </row>
    <row r="389" spans="1:18">
      <c r="A389" s="3"/>
      <c r="B389" s="3"/>
      <c r="C389" s="3"/>
      <c r="D389" s="3"/>
      <c r="E389" s="3"/>
      <c r="F389" s="3"/>
      <c r="G389" s="13" t="str">
        <f t="shared" si="18"/>
        <v/>
      </c>
      <c r="H389" s="13" t="str">
        <f t="shared" si="19"/>
        <v/>
      </c>
      <c r="I389" s="13" t="str">
        <f t="shared" si="20"/>
        <v/>
      </c>
      <c r="J389" s="3"/>
      <c r="K389" s="3"/>
      <c r="L389" s="3"/>
      <c r="M389" s="3"/>
      <c r="N389" s="3"/>
      <c r="O389" s="3"/>
      <c r="P389" s="12"/>
      <c r="Q389" s="3"/>
      <c r="R389" s="3"/>
    </row>
    <row r="390" spans="1:18">
      <c r="A390" s="3"/>
      <c r="B390" s="3"/>
      <c r="C390" s="3"/>
      <c r="D390" s="3"/>
      <c r="E390" s="3"/>
      <c r="F390" s="3"/>
      <c r="G390" s="13" t="str">
        <f t="shared" si="18"/>
        <v/>
      </c>
      <c r="H390" s="13" t="str">
        <f t="shared" si="19"/>
        <v/>
      </c>
      <c r="I390" s="13" t="str">
        <f t="shared" si="20"/>
        <v/>
      </c>
      <c r="J390" s="3"/>
      <c r="K390" s="3"/>
      <c r="L390" s="3"/>
      <c r="M390" s="3"/>
      <c r="N390" s="3"/>
      <c r="O390" s="3"/>
      <c r="P390" s="12"/>
      <c r="Q390" s="3"/>
      <c r="R390" s="3"/>
    </row>
    <row r="391" spans="1:18">
      <c r="A391" s="3"/>
      <c r="B391" s="3"/>
      <c r="C391" s="3"/>
      <c r="D391" s="3"/>
      <c r="E391" s="3"/>
      <c r="F391" s="3"/>
      <c r="G391" s="13" t="str">
        <f t="shared" si="18"/>
        <v/>
      </c>
      <c r="H391" s="13" t="str">
        <f t="shared" si="19"/>
        <v/>
      </c>
      <c r="I391" s="13" t="str">
        <f t="shared" si="20"/>
        <v/>
      </c>
      <c r="J391" s="3"/>
      <c r="K391" s="3"/>
      <c r="L391" s="3"/>
      <c r="M391" s="3"/>
      <c r="N391" s="3"/>
      <c r="O391" s="3"/>
      <c r="P391" s="12"/>
      <c r="Q391" s="3"/>
      <c r="R391" s="3"/>
    </row>
    <row r="392" spans="1:18">
      <c r="A392" s="3"/>
      <c r="B392" s="3"/>
      <c r="C392" s="3"/>
      <c r="D392" s="3"/>
      <c r="E392" s="3"/>
      <c r="F392" s="3"/>
      <c r="G392" s="13" t="str">
        <f t="shared" si="18"/>
        <v/>
      </c>
      <c r="H392" s="13" t="str">
        <f t="shared" si="19"/>
        <v/>
      </c>
      <c r="I392" s="13" t="str">
        <f t="shared" si="20"/>
        <v/>
      </c>
      <c r="J392" s="3"/>
      <c r="K392" s="3"/>
      <c r="L392" s="3"/>
      <c r="M392" s="3"/>
      <c r="N392" s="3"/>
      <c r="O392" s="3"/>
      <c r="P392" s="12"/>
      <c r="Q392" s="3"/>
      <c r="R392" s="3"/>
    </row>
    <row r="393" spans="1:18">
      <c r="A393" s="3"/>
      <c r="B393" s="3"/>
      <c r="C393" s="3"/>
      <c r="D393" s="3"/>
      <c r="E393" s="3"/>
      <c r="F393" s="3"/>
      <c r="G393" s="13" t="str">
        <f t="shared" si="18"/>
        <v/>
      </c>
      <c r="H393" s="13" t="str">
        <f t="shared" si="19"/>
        <v/>
      </c>
      <c r="I393" s="13" t="str">
        <f t="shared" si="20"/>
        <v/>
      </c>
      <c r="J393" s="3"/>
      <c r="K393" s="3"/>
      <c r="L393" s="3"/>
      <c r="M393" s="3"/>
      <c r="N393" s="3"/>
      <c r="O393" s="3"/>
      <c r="P393" s="12"/>
      <c r="Q393" s="3"/>
      <c r="R393" s="3"/>
    </row>
    <row r="394" spans="1:18">
      <c r="A394" s="3"/>
      <c r="B394" s="3"/>
      <c r="C394" s="3"/>
      <c r="D394" s="3"/>
      <c r="E394" s="3"/>
      <c r="F394" s="3"/>
      <c r="G394" s="13" t="str">
        <f t="shared" si="18"/>
        <v/>
      </c>
      <c r="H394" s="13" t="str">
        <f t="shared" si="19"/>
        <v/>
      </c>
      <c r="I394" s="13" t="str">
        <f t="shared" si="20"/>
        <v/>
      </c>
      <c r="J394" s="3"/>
      <c r="K394" s="3"/>
      <c r="L394" s="3"/>
      <c r="M394" s="3"/>
      <c r="N394" s="3"/>
      <c r="O394" s="3"/>
      <c r="P394" s="12"/>
      <c r="Q394" s="3"/>
      <c r="R394" s="3"/>
    </row>
    <row r="395" spans="1:18">
      <c r="A395" s="3"/>
      <c r="B395" s="3"/>
      <c r="C395" s="3"/>
      <c r="D395" s="3"/>
      <c r="E395" s="3"/>
      <c r="F395" s="3"/>
      <c r="G395" s="13" t="str">
        <f t="shared" si="18"/>
        <v/>
      </c>
      <c r="H395" s="13" t="str">
        <f t="shared" si="19"/>
        <v/>
      </c>
      <c r="I395" s="13" t="str">
        <f t="shared" si="20"/>
        <v/>
      </c>
      <c r="J395" s="3"/>
      <c r="K395" s="3"/>
      <c r="L395" s="3"/>
      <c r="M395" s="3"/>
      <c r="N395" s="3"/>
      <c r="O395" s="3"/>
      <c r="P395" s="12"/>
      <c r="Q395" s="3"/>
      <c r="R395" s="3"/>
    </row>
    <row r="396" spans="1:18">
      <c r="A396" s="3"/>
      <c r="B396" s="3"/>
      <c r="C396" s="3"/>
      <c r="D396" s="3"/>
      <c r="E396" s="3"/>
      <c r="F396" s="3"/>
      <c r="G396" s="13" t="str">
        <f t="shared" si="18"/>
        <v/>
      </c>
      <c r="H396" s="13" t="str">
        <f t="shared" si="19"/>
        <v/>
      </c>
      <c r="I396" s="13" t="str">
        <f t="shared" si="20"/>
        <v/>
      </c>
      <c r="J396" s="3"/>
      <c r="K396" s="3"/>
      <c r="L396" s="3"/>
      <c r="M396" s="3"/>
      <c r="N396" s="3"/>
      <c r="O396" s="3"/>
      <c r="P396" s="12"/>
      <c r="Q396" s="3"/>
      <c r="R396" s="3"/>
    </row>
    <row r="397" spans="1:18">
      <c r="A397" s="3"/>
      <c r="B397" s="3"/>
      <c r="C397" s="3"/>
      <c r="D397" s="3"/>
      <c r="E397" s="3"/>
      <c r="F397" s="3"/>
      <c r="G397" s="13" t="str">
        <f t="shared" si="18"/>
        <v/>
      </c>
      <c r="H397" s="13" t="str">
        <f t="shared" si="19"/>
        <v/>
      </c>
      <c r="I397" s="13" t="str">
        <f t="shared" si="20"/>
        <v/>
      </c>
      <c r="J397" s="3"/>
      <c r="K397" s="3"/>
      <c r="L397" s="3"/>
      <c r="M397" s="3"/>
      <c r="N397" s="3"/>
      <c r="O397" s="3"/>
      <c r="P397" s="12"/>
      <c r="Q397" s="3"/>
      <c r="R397" s="3"/>
    </row>
    <row r="398" spans="1:18">
      <c r="A398" s="3"/>
      <c r="B398" s="3"/>
      <c r="C398" s="3"/>
      <c r="D398" s="3"/>
      <c r="E398" s="3"/>
      <c r="F398" s="3"/>
      <c r="G398" s="13" t="str">
        <f t="shared" si="18"/>
        <v/>
      </c>
      <c r="H398" s="13" t="str">
        <f t="shared" si="19"/>
        <v/>
      </c>
      <c r="I398" s="13" t="str">
        <f t="shared" si="20"/>
        <v/>
      </c>
      <c r="J398" s="3"/>
      <c r="K398" s="3"/>
      <c r="L398" s="3"/>
      <c r="M398" s="3"/>
      <c r="N398" s="3"/>
      <c r="O398" s="3"/>
      <c r="P398" s="12"/>
      <c r="Q398" s="3"/>
      <c r="R398" s="3"/>
    </row>
    <row r="399" spans="1:18">
      <c r="A399" s="3"/>
      <c r="B399" s="3"/>
      <c r="C399" s="3"/>
      <c r="D399" s="3"/>
      <c r="E399" s="3"/>
      <c r="F399" s="3"/>
      <c r="G399" s="13" t="str">
        <f t="shared" si="18"/>
        <v/>
      </c>
      <c r="H399" s="13" t="str">
        <f t="shared" si="19"/>
        <v/>
      </c>
      <c r="I399" s="13" t="str">
        <f t="shared" si="20"/>
        <v/>
      </c>
      <c r="J399" s="3"/>
      <c r="K399" s="3"/>
      <c r="L399" s="3"/>
      <c r="M399" s="3"/>
      <c r="N399" s="3"/>
      <c r="O399" s="3"/>
      <c r="P399" s="12"/>
      <c r="Q399" s="3"/>
      <c r="R399" s="3"/>
    </row>
    <row r="400" spans="1:18">
      <c r="A400" s="3"/>
      <c r="B400" s="3"/>
      <c r="C400" s="3"/>
      <c r="D400" s="3"/>
      <c r="E400" s="3"/>
      <c r="F400" s="3"/>
      <c r="G400" s="13" t="str">
        <f t="shared" si="18"/>
        <v/>
      </c>
      <c r="H400" s="13" t="str">
        <f t="shared" si="19"/>
        <v/>
      </c>
      <c r="I400" s="13" t="str">
        <f t="shared" si="20"/>
        <v/>
      </c>
      <c r="J400" s="3"/>
      <c r="K400" s="3"/>
      <c r="L400" s="3"/>
      <c r="M400" s="3"/>
      <c r="N400" s="3"/>
      <c r="O400" s="3"/>
      <c r="P400" s="12"/>
      <c r="Q400" s="3"/>
      <c r="R400" s="3"/>
    </row>
    <row r="401" spans="1:18">
      <c r="A401" s="3"/>
      <c r="B401" s="3"/>
      <c r="C401" s="3"/>
      <c r="D401" s="3"/>
      <c r="E401" s="3"/>
      <c r="F401" s="3"/>
      <c r="G401" s="13" t="str">
        <f t="shared" si="18"/>
        <v/>
      </c>
      <c r="H401" s="13" t="str">
        <f t="shared" si="19"/>
        <v/>
      </c>
      <c r="I401" s="13" t="str">
        <f t="shared" si="20"/>
        <v/>
      </c>
      <c r="J401" s="3"/>
      <c r="K401" s="3"/>
      <c r="L401" s="3"/>
      <c r="M401" s="3"/>
      <c r="N401" s="3"/>
      <c r="O401" s="3"/>
      <c r="P401" s="12"/>
      <c r="Q401" s="3"/>
      <c r="R401" s="3"/>
    </row>
    <row r="402" spans="1:18">
      <c r="A402" s="3"/>
      <c r="B402" s="3"/>
      <c r="C402" s="3"/>
      <c r="D402" s="3"/>
      <c r="E402" s="3"/>
      <c r="F402" s="3"/>
      <c r="G402" s="13" t="str">
        <f t="shared" si="18"/>
        <v/>
      </c>
      <c r="H402" s="13" t="str">
        <f t="shared" si="19"/>
        <v/>
      </c>
      <c r="I402" s="13" t="str">
        <f t="shared" si="20"/>
        <v/>
      </c>
      <c r="J402" s="3"/>
      <c r="K402" s="3"/>
      <c r="L402" s="3"/>
      <c r="M402" s="3"/>
      <c r="N402" s="3"/>
      <c r="O402" s="3"/>
      <c r="P402" s="12"/>
      <c r="Q402" s="3"/>
      <c r="R402" s="3"/>
    </row>
    <row r="403" spans="1:18">
      <c r="A403" s="3"/>
      <c r="B403" s="3"/>
      <c r="C403" s="3"/>
      <c r="D403" s="3"/>
      <c r="E403" s="3"/>
      <c r="F403" s="3"/>
      <c r="G403" s="13" t="str">
        <f t="shared" si="18"/>
        <v/>
      </c>
      <c r="H403" s="13" t="str">
        <f t="shared" si="19"/>
        <v/>
      </c>
      <c r="I403" s="13" t="str">
        <f t="shared" si="20"/>
        <v/>
      </c>
      <c r="J403" s="3"/>
      <c r="K403" s="3"/>
      <c r="L403" s="3"/>
      <c r="M403" s="3"/>
      <c r="N403" s="3"/>
      <c r="O403" s="3"/>
      <c r="P403" s="12"/>
      <c r="Q403" s="3"/>
      <c r="R403" s="3"/>
    </row>
    <row r="404" spans="1:18">
      <c r="A404" s="3"/>
      <c r="B404" s="3"/>
      <c r="C404" s="3"/>
      <c r="D404" s="3"/>
      <c r="E404" s="3"/>
      <c r="F404" s="3"/>
      <c r="G404" s="13" t="str">
        <f t="shared" si="18"/>
        <v/>
      </c>
      <c r="H404" s="13" t="str">
        <f t="shared" si="19"/>
        <v/>
      </c>
      <c r="I404" s="13" t="str">
        <f t="shared" si="20"/>
        <v/>
      </c>
      <c r="J404" s="3"/>
      <c r="K404" s="3"/>
      <c r="L404" s="3"/>
      <c r="M404" s="3"/>
      <c r="N404" s="3"/>
      <c r="O404" s="3"/>
      <c r="P404" s="12"/>
      <c r="Q404" s="3"/>
      <c r="R404" s="3"/>
    </row>
    <row r="405" spans="1:18">
      <c r="A405" s="3"/>
      <c r="B405" s="3"/>
      <c r="C405" s="3"/>
      <c r="D405" s="3"/>
      <c r="E405" s="3"/>
      <c r="F405" s="3"/>
      <c r="G405" s="13" t="str">
        <f t="shared" si="18"/>
        <v/>
      </c>
      <c r="H405" s="13" t="str">
        <f t="shared" si="19"/>
        <v/>
      </c>
      <c r="I405" s="13" t="str">
        <f t="shared" si="20"/>
        <v/>
      </c>
      <c r="J405" s="3"/>
      <c r="K405" s="3"/>
      <c r="L405" s="3"/>
      <c r="M405" s="3"/>
      <c r="N405" s="3"/>
      <c r="O405" s="3"/>
      <c r="P405" s="12"/>
      <c r="Q405" s="3"/>
      <c r="R405" s="3"/>
    </row>
    <row r="406" spans="1:18">
      <c r="A406" s="3"/>
      <c r="B406" s="3"/>
      <c r="C406" s="3"/>
      <c r="D406" s="3"/>
      <c r="E406" s="3"/>
      <c r="F406" s="3"/>
      <c r="G406" s="13" t="str">
        <f t="shared" si="18"/>
        <v/>
      </c>
      <c r="H406" s="13" t="str">
        <f t="shared" si="19"/>
        <v/>
      </c>
      <c r="I406" s="13" t="str">
        <f t="shared" si="20"/>
        <v/>
      </c>
      <c r="J406" s="3"/>
      <c r="K406" s="3"/>
      <c r="L406" s="3"/>
      <c r="M406" s="3"/>
      <c r="N406" s="3"/>
      <c r="O406" s="3"/>
      <c r="P406" s="12"/>
      <c r="Q406" s="3"/>
      <c r="R406" s="3"/>
    </row>
    <row r="407" spans="1:18">
      <c r="A407" s="3"/>
      <c r="B407" s="3"/>
      <c r="C407" s="3"/>
      <c r="D407" s="3"/>
      <c r="E407" s="3"/>
      <c r="F407" s="3"/>
      <c r="G407" s="13" t="str">
        <f t="shared" si="18"/>
        <v/>
      </c>
      <c r="H407" s="13" t="str">
        <f t="shared" si="19"/>
        <v/>
      </c>
      <c r="I407" s="13" t="str">
        <f t="shared" si="20"/>
        <v/>
      </c>
      <c r="J407" s="3"/>
      <c r="K407" s="3"/>
      <c r="L407" s="3"/>
      <c r="M407" s="3"/>
      <c r="N407" s="3"/>
      <c r="O407" s="3"/>
      <c r="P407" s="12"/>
      <c r="Q407" s="3"/>
      <c r="R407" s="3"/>
    </row>
    <row r="408" spans="1:18">
      <c r="A408" s="3"/>
      <c r="B408" s="3"/>
      <c r="C408" s="3"/>
      <c r="D408" s="3"/>
      <c r="E408" s="3"/>
      <c r="F408" s="3"/>
      <c r="G408" s="13" t="str">
        <f t="shared" si="18"/>
        <v/>
      </c>
      <c r="H408" s="13" t="str">
        <f t="shared" si="19"/>
        <v/>
      </c>
      <c r="I408" s="13" t="str">
        <f t="shared" si="20"/>
        <v/>
      </c>
      <c r="J408" s="3"/>
      <c r="K408" s="3"/>
      <c r="L408" s="3"/>
      <c r="M408" s="3"/>
      <c r="N408" s="3"/>
      <c r="O408" s="3"/>
      <c r="P408" s="12"/>
      <c r="Q408" s="3"/>
      <c r="R408" s="3"/>
    </row>
    <row r="409" spans="1:18">
      <c r="A409" s="3"/>
      <c r="B409" s="3"/>
      <c r="C409" s="3"/>
      <c r="D409" s="3"/>
      <c r="E409" s="3"/>
      <c r="F409" s="3"/>
      <c r="G409" s="13" t="str">
        <f t="shared" si="18"/>
        <v/>
      </c>
      <c r="H409" s="13" t="str">
        <f t="shared" si="19"/>
        <v/>
      </c>
      <c r="I409" s="13" t="str">
        <f t="shared" si="20"/>
        <v/>
      </c>
      <c r="J409" s="3"/>
      <c r="K409" s="3"/>
      <c r="L409" s="3"/>
      <c r="M409" s="3"/>
      <c r="N409" s="3"/>
      <c r="O409" s="3"/>
      <c r="P409" s="12"/>
      <c r="Q409" s="3"/>
      <c r="R409" s="3"/>
    </row>
    <row r="410" spans="1:18">
      <c r="A410" s="3"/>
      <c r="B410" s="3"/>
      <c r="C410" s="3"/>
      <c r="D410" s="3"/>
      <c r="E410" s="3"/>
      <c r="F410" s="3"/>
      <c r="G410" s="13" t="str">
        <f t="shared" si="18"/>
        <v/>
      </c>
      <c r="H410" s="13" t="str">
        <f t="shared" si="19"/>
        <v/>
      </c>
      <c r="I410" s="13" t="str">
        <f t="shared" si="20"/>
        <v/>
      </c>
      <c r="J410" s="3"/>
      <c r="K410" s="3"/>
      <c r="L410" s="3"/>
      <c r="M410" s="3"/>
      <c r="N410" s="3"/>
      <c r="O410" s="3"/>
      <c r="P410" s="12"/>
      <c r="Q410" s="3"/>
      <c r="R410" s="3"/>
    </row>
    <row r="411" spans="1:18">
      <c r="A411" s="3"/>
      <c r="B411" s="3"/>
      <c r="C411" s="3"/>
      <c r="D411" s="3"/>
      <c r="E411" s="3"/>
      <c r="F411" s="3"/>
      <c r="G411" s="13" t="str">
        <f t="shared" si="18"/>
        <v/>
      </c>
      <c r="H411" s="13" t="str">
        <f t="shared" si="19"/>
        <v/>
      </c>
      <c r="I411" s="13" t="str">
        <f t="shared" si="20"/>
        <v/>
      </c>
      <c r="J411" s="3"/>
      <c r="K411" s="3"/>
      <c r="L411" s="3"/>
      <c r="M411" s="3"/>
      <c r="N411" s="3"/>
      <c r="O411" s="3"/>
      <c r="P411" s="12"/>
      <c r="Q411" s="3"/>
      <c r="R411" s="3"/>
    </row>
    <row r="412" spans="1:18">
      <c r="A412" s="3"/>
      <c r="B412" s="3"/>
      <c r="C412" s="3"/>
      <c r="D412" s="3"/>
      <c r="E412" s="3"/>
      <c r="F412" s="3"/>
      <c r="G412" s="13" t="str">
        <f t="shared" si="18"/>
        <v/>
      </c>
      <c r="H412" s="13" t="str">
        <f t="shared" si="19"/>
        <v/>
      </c>
      <c r="I412" s="13" t="str">
        <f t="shared" si="20"/>
        <v/>
      </c>
      <c r="J412" s="3"/>
      <c r="K412" s="3"/>
      <c r="L412" s="3"/>
      <c r="M412" s="3"/>
      <c r="N412" s="3"/>
      <c r="O412" s="3"/>
      <c r="P412" s="12"/>
      <c r="Q412" s="3"/>
      <c r="R412" s="3"/>
    </row>
    <row r="413" spans="1:18">
      <c r="A413" s="3"/>
      <c r="B413" s="3"/>
      <c r="C413" s="3"/>
      <c r="D413" s="3"/>
      <c r="E413" s="3"/>
      <c r="F413" s="3"/>
      <c r="G413" s="13" t="str">
        <f t="shared" si="18"/>
        <v/>
      </c>
      <c r="H413" s="13" t="str">
        <f t="shared" si="19"/>
        <v/>
      </c>
      <c r="I413" s="13" t="str">
        <f t="shared" si="20"/>
        <v/>
      </c>
      <c r="J413" s="3"/>
      <c r="K413" s="3"/>
      <c r="L413" s="3"/>
      <c r="M413" s="3"/>
      <c r="N413" s="3"/>
      <c r="O413" s="3"/>
      <c r="P413" s="12"/>
      <c r="Q413" s="3"/>
      <c r="R413" s="3"/>
    </row>
    <row r="414" spans="1:18">
      <c r="A414" s="3"/>
      <c r="B414" s="3"/>
      <c r="C414" s="3"/>
      <c r="D414" s="3"/>
      <c r="E414" s="3"/>
      <c r="F414" s="3"/>
      <c r="G414" s="13" t="str">
        <f t="shared" si="18"/>
        <v/>
      </c>
      <c r="H414" s="13" t="str">
        <f t="shared" si="19"/>
        <v/>
      </c>
      <c r="I414" s="13" t="str">
        <f t="shared" si="20"/>
        <v/>
      </c>
      <c r="J414" s="3"/>
      <c r="K414" s="3"/>
      <c r="L414" s="3"/>
      <c r="M414" s="3"/>
      <c r="N414" s="3"/>
      <c r="O414" s="3"/>
      <c r="P414" s="12"/>
      <c r="Q414" s="3"/>
      <c r="R414" s="3"/>
    </row>
    <row r="415" spans="1:18">
      <c r="A415" s="3"/>
      <c r="B415" s="3"/>
      <c r="C415" s="3"/>
      <c r="D415" s="3"/>
      <c r="E415" s="3"/>
      <c r="F415" s="3"/>
      <c r="G415" s="13" t="str">
        <f t="shared" si="18"/>
        <v/>
      </c>
      <c r="H415" s="13" t="str">
        <f t="shared" si="19"/>
        <v/>
      </c>
      <c r="I415" s="13" t="str">
        <f t="shared" si="20"/>
        <v/>
      </c>
      <c r="J415" s="3"/>
      <c r="K415" s="3"/>
      <c r="L415" s="3"/>
      <c r="M415" s="3"/>
      <c r="N415" s="3"/>
      <c r="O415" s="3"/>
      <c r="P415" s="12"/>
      <c r="Q415" s="3"/>
      <c r="R415" s="3"/>
    </row>
    <row r="416" spans="1:18">
      <c r="A416" s="3"/>
      <c r="B416" s="3"/>
      <c r="C416" s="3"/>
      <c r="D416" s="3"/>
      <c r="E416" s="3"/>
      <c r="F416" s="3"/>
      <c r="G416" s="13" t="str">
        <f t="shared" si="18"/>
        <v/>
      </c>
      <c r="H416" s="13" t="str">
        <f t="shared" si="19"/>
        <v/>
      </c>
      <c r="I416" s="13" t="str">
        <f t="shared" si="20"/>
        <v/>
      </c>
      <c r="J416" s="3"/>
      <c r="K416" s="3"/>
      <c r="L416" s="3"/>
      <c r="M416" s="3"/>
      <c r="N416" s="3"/>
      <c r="O416" s="3"/>
      <c r="P416" s="12"/>
      <c r="Q416" s="3"/>
      <c r="R416" s="3"/>
    </row>
    <row r="417" spans="1:18">
      <c r="A417" s="3"/>
      <c r="B417" s="3"/>
      <c r="C417" s="3"/>
      <c r="D417" s="3"/>
      <c r="E417" s="3"/>
      <c r="F417" s="3"/>
      <c r="G417" s="13" t="str">
        <f t="shared" si="18"/>
        <v/>
      </c>
      <c r="H417" s="13" t="str">
        <f t="shared" si="19"/>
        <v/>
      </c>
      <c r="I417" s="13" t="str">
        <f t="shared" si="20"/>
        <v/>
      </c>
      <c r="J417" s="3"/>
      <c r="K417" s="3"/>
      <c r="L417" s="3"/>
      <c r="M417" s="3"/>
      <c r="N417" s="3"/>
      <c r="O417" s="3"/>
      <c r="P417" s="12"/>
      <c r="Q417" s="3"/>
      <c r="R417" s="3"/>
    </row>
    <row r="418" spans="1:18">
      <c r="A418" s="3"/>
      <c r="B418" s="3"/>
      <c r="C418" s="3"/>
      <c r="D418" s="3"/>
      <c r="E418" s="3"/>
      <c r="F418" s="3"/>
      <c r="G418" s="13" t="str">
        <f t="shared" si="18"/>
        <v/>
      </c>
      <c r="H418" s="13" t="str">
        <f t="shared" si="19"/>
        <v/>
      </c>
      <c r="I418" s="13" t="str">
        <f t="shared" si="20"/>
        <v/>
      </c>
      <c r="J418" s="3"/>
      <c r="K418" s="3"/>
      <c r="L418" s="3"/>
      <c r="M418" s="3"/>
      <c r="N418" s="3"/>
      <c r="O418" s="3"/>
      <c r="P418" s="12"/>
      <c r="Q418" s="3"/>
      <c r="R418" s="3"/>
    </row>
    <row r="419" spans="1:18">
      <c r="A419" s="3"/>
      <c r="B419" s="3"/>
      <c r="C419" s="3"/>
      <c r="D419" s="3"/>
      <c r="E419" s="3"/>
      <c r="F419" s="3"/>
      <c r="G419" s="13" t="str">
        <f t="shared" si="18"/>
        <v/>
      </c>
      <c r="H419" s="13" t="str">
        <f t="shared" si="19"/>
        <v/>
      </c>
      <c r="I419" s="13" t="str">
        <f t="shared" si="20"/>
        <v/>
      </c>
      <c r="J419" s="3"/>
      <c r="K419" s="3"/>
      <c r="L419" s="3"/>
      <c r="M419" s="3"/>
      <c r="N419" s="3"/>
      <c r="O419" s="3"/>
      <c r="P419" s="12"/>
      <c r="Q419" s="3"/>
      <c r="R419" s="3"/>
    </row>
    <row r="420" spans="1:18">
      <c r="A420" s="3"/>
      <c r="B420" s="3"/>
      <c r="C420" s="3"/>
      <c r="D420" s="3"/>
      <c r="E420" s="3"/>
      <c r="F420" s="3"/>
      <c r="G420" s="13" t="str">
        <f t="shared" si="18"/>
        <v/>
      </c>
      <c r="H420" s="13" t="str">
        <f t="shared" si="19"/>
        <v/>
      </c>
      <c r="I420" s="13" t="str">
        <f t="shared" si="20"/>
        <v/>
      </c>
      <c r="J420" s="3"/>
      <c r="K420" s="3"/>
      <c r="L420" s="3"/>
      <c r="M420" s="3"/>
      <c r="N420" s="3"/>
      <c r="O420" s="3"/>
      <c r="P420" s="12"/>
      <c r="Q420" s="3"/>
      <c r="R420" s="3"/>
    </row>
    <row r="421" spans="1:18">
      <c r="A421" s="3"/>
      <c r="B421" s="3"/>
      <c r="C421" s="3"/>
      <c r="D421" s="3"/>
      <c r="E421" s="3"/>
      <c r="F421" s="3"/>
      <c r="G421" s="13" t="str">
        <f t="shared" si="18"/>
        <v/>
      </c>
      <c r="H421" s="13" t="str">
        <f t="shared" si="19"/>
        <v/>
      </c>
      <c r="I421" s="13" t="str">
        <f t="shared" si="20"/>
        <v/>
      </c>
      <c r="J421" s="3"/>
      <c r="K421" s="3"/>
      <c r="L421" s="3"/>
      <c r="M421" s="3"/>
      <c r="N421" s="3"/>
      <c r="O421" s="3"/>
      <c r="P421" s="12"/>
      <c r="Q421" s="3"/>
      <c r="R421" s="3"/>
    </row>
    <row r="422" spans="1:18">
      <c r="A422" s="3"/>
      <c r="B422" s="3"/>
      <c r="C422" s="3"/>
      <c r="D422" s="3"/>
      <c r="E422" s="3"/>
      <c r="F422" s="3"/>
      <c r="G422" s="13" t="str">
        <f t="shared" si="18"/>
        <v/>
      </c>
      <c r="H422" s="13" t="str">
        <f t="shared" si="19"/>
        <v/>
      </c>
      <c r="I422" s="13" t="str">
        <f t="shared" si="20"/>
        <v/>
      </c>
      <c r="J422" s="3"/>
      <c r="K422" s="3"/>
      <c r="L422" s="3"/>
      <c r="M422" s="3"/>
      <c r="N422" s="3"/>
      <c r="O422" s="3"/>
      <c r="P422" s="12"/>
      <c r="Q422" s="3"/>
      <c r="R422" s="3"/>
    </row>
    <row r="423" spans="1:18">
      <c r="A423" s="3"/>
      <c r="B423" s="3"/>
      <c r="C423" s="3"/>
      <c r="D423" s="3"/>
      <c r="E423" s="3"/>
      <c r="F423" s="3"/>
      <c r="G423" s="13" t="str">
        <f t="shared" si="18"/>
        <v/>
      </c>
      <c r="H423" s="13" t="str">
        <f t="shared" si="19"/>
        <v/>
      </c>
      <c r="I423" s="13" t="str">
        <f t="shared" si="20"/>
        <v/>
      </c>
      <c r="J423" s="3"/>
      <c r="K423" s="3"/>
      <c r="L423" s="3"/>
      <c r="M423" s="3"/>
      <c r="N423" s="3"/>
      <c r="O423" s="3"/>
      <c r="P423" s="12"/>
      <c r="Q423" s="3"/>
      <c r="R423" s="3"/>
    </row>
    <row r="424" spans="1:18">
      <c r="A424" s="3"/>
      <c r="B424" s="3"/>
      <c r="C424" s="3"/>
      <c r="D424" s="3"/>
      <c r="E424" s="3"/>
      <c r="F424" s="3"/>
      <c r="G424" s="13" t="str">
        <f t="shared" si="18"/>
        <v/>
      </c>
      <c r="H424" s="13" t="str">
        <f t="shared" si="19"/>
        <v/>
      </c>
      <c r="I424" s="13" t="str">
        <f t="shared" si="20"/>
        <v/>
      </c>
      <c r="J424" s="3"/>
      <c r="K424" s="3"/>
      <c r="L424" s="3"/>
      <c r="M424" s="3"/>
      <c r="N424" s="3"/>
      <c r="O424" s="3"/>
      <c r="P424" s="12"/>
      <c r="Q424" s="3"/>
      <c r="R424" s="3"/>
    </row>
    <row r="425" spans="1:18">
      <c r="A425" s="3"/>
      <c r="B425" s="3"/>
      <c r="C425" s="3"/>
      <c r="D425" s="3"/>
      <c r="E425" s="3"/>
      <c r="F425" s="3"/>
      <c r="G425" s="13" t="str">
        <f t="shared" si="18"/>
        <v/>
      </c>
      <c r="H425" s="13" t="str">
        <f t="shared" si="19"/>
        <v/>
      </c>
      <c r="I425" s="13" t="str">
        <f t="shared" si="20"/>
        <v/>
      </c>
      <c r="J425" s="3"/>
      <c r="K425" s="3"/>
      <c r="L425" s="3"/>
      <c r="M425" s="3"/>
      <c r="N425" s="3"/>
      <c r="O425" s="3"/>
      <c r="P425" s="12"/>
      <c r="Q425" s="3"/>
      <c r="R425" s="3"/>
    </row>
    <row r="426" spans="1:18">
      <c r="A426" s="3"/>
      <c r="B426" s="3"/>
      <c r="C426" s="3"/>
      <c r="D426" s="3"/>
      <c r="E426" s="3"/>
      <c r="F426" s="3"/>
      <c r="G426" s="13" t="str">
        <f t="shared" si="18"/>
        <v/>
      </c>
      <c r="H426" s="13" t="str">
        <f t="shared" si="19"/>
        <v/>
      </c>
      <c r="I426" s="13" t="str">
        <f t="shared" si="20"/>
        <v/>
      </c>
      <c r="J426" s="3"/>
      <c r="K426" s="3"/>
      <c r="L426" s="3"/>
      <c r="M426" s="3"/>
      <c r="N426" s="3"/>
      <c r="O426" s="3"/>
      <c r="P426" s="12"/>
      <c r="Q426" s="3"/>
      <c r="R426" s="3"/>
    </row>
    <row r="427" spans="1:18">
      <c r="A427" s="3"/>
      <c r="B427" s="3"/>
      <c r="C427" s="3"/>
      <c r="D427" s="3"/>
      <c r="E427" s="3"/>
      <c r="F427" s="3"/>
      <c r="G427" s="13" t="str">
        <f t="shared" si="18"/>
        <v/>
      </c>
      <c r="H427" s="13" t="str">
        <f t="shared" si="19"/>
        <v/>
      </c>
      <c r="I427" s="13" t="str">
        <f t="shared" si="20"/>
        <v/>
      </c>
      <c r="J427" s="3"/>
      <c r="K427" s="3"/>
      <c r="L427" s="3"/>
      <c r="M427" s="3"/>
      <c r="N427" s="3"/>
      <c r="O427" s="3"/>
      <c r="P427" s="12"/>
      <c r="Q427" s="3"/>
      <c r="R427" s="3"/>
    </row>
    <row r="428" spans="1:18">
      <c r="A428" s="3"/>
      <c r="B428" s="3"/>
      <c r="C428" s="3"/>
      <c r="D428" s="3"/>
      <c r="E428" s="3"/>
      <c r="F428" s="3"/>
      <c r="G428" s="13" t="str">
        <f t="shared" si="18"/>
        <v/>
      </c>
      <c r="H428" s="13" t="str">
        <f t="shared" si="19"/>
        <v/>
      </c>
      <c r="I428" s="13" t="str">
        <f t="shared" si="20"/>
        <v/>
      </c>
      <c r="J428" s="3"/>
      <c r="K428" s="3"/>
      <c r="L428" s="3"/>
      <c r="M428" s="3"/>
      <c r="N428" s="3"/>
      <c r="O428" s="3"/>
      <c r="P428" s="12"/>
      <c r="Q428" s="3"/>
      <c r="R428" s="3"/>
    </row>
    <row r="429" spans="1:18">
      <c r="A429" s="3"/>
      <c r="B429" s="3"/>
      <c r="C429" s="3"/>
      <c r="D429" s="3"/>
      <c r="E429" s="3"/>
      <c r="F429" s="3"/>
      <c r="G429" s="13" t="str">
        <f t="shared" si="18"/>
        <v/>
      </c>
      <c r="H429" s="13" t="str">
        <f t="shared" si="19"/>
        <v/>
      </c>
      <c r="I429" s="13" t="str">
        <f t="shared" si="20"/>
        <v/>
      </c>
      <c r="J429" s="3"/>
      <c r="K429" s="3"/>
      <c r="L429" s="3"/>
      <c r="M429" s="3"/>
      <c r="N429" s="3"/>
      <c r="O429" s="3"/>
      <c r="P429" s="12"/>
      <c r="Q429" s="3"/>
      <c r="R429" s="3"/>
    </row>
    <row r="430" spans="1:18">
      <c r="A430" s="3"/>
      <c r="B430" s="3"/>
      <c r="C430" s="3"/>
      <c r="D430" s="3"/>
      <c r="E430" s="3"/>
      <c r="F430" s="3"/>
      <c r="G430" s="13" t="str">
        <f t="shared" si="18"/>
        <v/>
      </c>
      <c r="H430" s="13" t="str">
        <f t="shared" si="19"/>
        <v/>
      </c>
      <c r="I430" s="13" t="str">
        <f t="shared" si="20"/>
        <v/>
      </c>
      <c r="J430" s="3"/>
      <c r="K430" s="3"/>
      <c r="L430" s="3"/>
      <c r="M430" s="3"/>
      <c r="N430" s="3"/>
      <c r="O430" s="3"/>
      <c r="P430" s="12"/>
      <c r="Q430" s="3"/>
      <c r="R430" s="3"/>
    </row>
    <row r="431" spans="1:18">
      <c r="A431" s="3"/>
      <c r="B431" s="3"/>
      <c r="C431" s="3"/>
      <c r="D431" s="3"/>
      <c r="E431" s="3"/>
      <c r="F431" s="3"/>
      <c r="G431" s="13" t="str">
        <f t="shared" si="18"/>
        <v/>
      </c>
      <c r="H431" s="13" t="str">
        <f t="shared" si="19"/>
        <v/>
      </c>
      <c r="I431" s="13" t="str">
        <f t="shared" si="20"/>
        <v/>
      </c>
      <c r="J431" s="3"/>
      <c r="K431" s="3"/>
      <c r="L431" s="3"/>
      <c r="M431" s="3"/>
      <c r="N431" s="3"/>
      <c r="O431" s="3"/>
      <c r="P431" s="12"/>
      <c r="Q431" s="3"/>
      <c r="R431" s="3"/>
    </row>
    <row r="432" spans="1:18">
      <c r="A432" s="3"/>
      <c r="B432" s="3"/>
      <c r="C432" s="3"/>
      <c r="D432" s="3"/>
      <c r="E432" s="3"/>
      <c r="F432" s="3"/>
      <c r="G432" s="13" t="str">
        <f t="shared" si="18"/>
        <v/>
      </c>
      <c r="H432" s="13" t="str">
        <f t="shared" si="19"/>
        <v/>
      </c>
      <c r="I432" s="13" t="str">
        <f t="shared" si="20"/>
        <v/>
      </c>
      <c r="J432" s="3"/>
      <c r="K432" s="3"/>
      <c r="L432" s="3"/>
      <c r="M432" s="3"/>
      <c r="N432" s="3"/>
      <c r="O432" s="3"/>
      <c r="P432" s="12"/>
      <c r="Q432" s="3"/>
      <c r="R432" s="3"/>
    </row>
    <row r="433" spans="1:18">
      <c r="A433" s="3"/>
      <c r="B433" s="3"/>
      <c r="C433" s="3"/>
      <c r="D433" s="3"/>
      <c r="E433" s="3"/>
      <c r="F433" s="3"/>
      <c r="G433" s="13" t="str">
        <f t="shared" si="18"/>
        <v/>
      </c>
      <c r="H433" s="13" t="str">
        <f t="shared" si="19"/>
        <v/>
      </c>
      <c r="I433" s="13" t="str">
        <f t="shared" si="20"/>
        <v/>
      </c>
      <c r="J433" s="3"/>
      <c r="K433" s="3"/>
      <c r="L433" s="3"/>
      <c r="M433" s="3"/>
      <c r="N433" s="3"/>
      <c r="O433" s="3"/>
      <c r="P433" s="12"/>
      <c r="Q433" s="3"/>
      <c r="R433" s="3"/>
    </row>
    <row r="434" spans="1:18">
      <c r="A434" s="3"/>
      <c r="B434" s="3"/>
      <c r="C434" s="3"/>
      <c r="D434" s="3"/>
      <c r="E434" s="3"/>
      <c r="F434" s="3"/>
      <c r="G434" s="13" t="str">
        <f t="shared" si="18"/>
        <v/>
      </c>
      <c r="H434" s="13" t="str">
        <f t="shared" si="19"/>
        <v/>
      </c>
      <c r="I434" s="13" t="str">
        <f t="shared" si="20"/>
        <v/>
      </c>
      <c r="J434" s="3"/>
      <c r="K434" s="3"/>
      <c r="L434" s="3"/>
      <c r="M434" s="3"/>
      <c r="N434" s="3"/>
      <c r="O434" s="3"/>
      <c r="P434" s="12"/>
      <c r="Q434" s="3"/>
      <c r="R434" s="3"/>
    </row>
    <row r="435" spans="1:18">
      <c r="A435" s="3"/>
      <c r="B435" s="3"/>
      <c r="C435" s="3"/>
      <c r="D435" s="3"/>
      <c r="E435" s="3"/>
      <c r="F435" s="3"/>
      <c r="G435" s="13" t="str">
        <f t="shared" si="18"/>
        <v/>
      </c>
      <c r="H435" s="13" t="str">
        <f t="shared" si="19"/>
        <v/>
      </c>
      <c r="I435" s="13" t="str">
        <f t="shared" si="20"/>
        <v/>
      </c>
      <c r="J435" s="3"/>
      <c r="K435" s="3"/>
      <c r="L435" s="3"/>
      <c r="M435" s="3"/>
      <c r="N435" s="3"/>
      <c r="O435" s="3"/>
      <c r="P435" s="12"/>
      <c r="Q435" s="3"/>
      <c r="R435" s="3"/>
    </row>
    <row r="436" spans="1:18">
      <c r="A436" s="3"/>
      <c r="B436" s="3"/>
      <c r="C436" s="3"/>
      <c r="D436" s="3"/>
      <c r="E436" s="3"/>
      <c r="F436" s="3"/>
      <c r="G436" s="13" t="str">
        <f t="shared" si="18"/>
        <v/>
      </c>
      <c r="H436" s="13" t="str">
        <f t="shared" si="19"/>
        <v/>
      </c>
      <c r="I436" s="13" t="str">
        <f t="shared" si="20"/>
        <v/>
      </c>
      <c r="J436" s="3"/>
      <c r="K436" s="3"/>
      <c r="L436" s="3"/>
      <c r="M436" s="3"/>
      <c r="N436" s="3"/>
      <c r="O436" s="3"/>
      <c r="P436" s="12"/>
      <c r="Q436" s="3"/>
      <c r="R436" s="3"/>
    </row>
    <row r="437" spans="1:18">
      <c r="A437" s="3"/>
      <c r="B437" s="3"/>
      <c r="C437" s="3"/>
      <c r="D437" s="3"/>
      <c r="E437" s="3"/>
      <c r="F437" s="3"/>
      <c r="G437" s="13" t="str">
        <f t="shared" si="18"/>
        <v/>
      </c>
      <c r="H437" s="13" t="str">
        <f t="shared" si="19"/>
        <v/>
      </c>
      <c r="I437" s="13" t="str">
        <f t="shared" si="20"/>
        <v/>
      </c>
      <c r="J437" s="3"/>
      <c r="K437" s="3"/>
      <c r="L437" s="3"/>
      <c r="M437" s="3"/>
      <c r="N437" s="3"/>
      <c r="O437" s="3"/>
      <c r="P437" s="12"/>
      <c r="Q437" s="3"/>
      <c r="R437" s="3"/>
    </row>
    <row r="438" spans="1:18">
      <c r="A438" s="3"/>
      <c r="B438" s="3"/>
      <c r="C438" s="3"/>
      <c r="D438" s="3"/>
      <c r="E438" s="3"/>
      <c r="F438" s="3"/>
      <c r="G438" s="13" t="str">
        <f t="shared" si="18"/>
        <v/>
      </c>
      <c r="H438" s="13" t="str">
        <f t="shared" si="19"/>
        <v/>
      </c>
      <c r="I438" s="13" t="str">
        <f t="shared" si="20"/>
        <v/>
      </c>
      <c r="J438" s="3"/>
      <c r="K438" s="3"/>
      <c r="L438" s="3"/>
      <c r="M438" s="3"/>
      <c r="N438" s="3"/>
      <c r="O438" s="3"/>
      <c r="P438" s="12"/>
      <c r="Q438" s="3"/>
      <c r="R438" s="3"/>
    </row>
    <row r="439" spans="1:18">
      <c r="A439" s="3"/>
      <c r="B439" s="3"/>
      <c r="C439" s="3"/>
      <c r="D439" s="3"/>
      <c r="E439" s="3"/>
      <c r="F439" s="3"/>
      <c r="G439" s="13" t="str">
        <f t="shared" si="18"/>
        <v/>
      </c>
      <c r="H439" s="13" t="str">
        <f t="shared" si="19"/>
        <v/>
      </c>
      <c r="I439" s="13" t="str">
        <f t="shared" si="20"/>
        <v/>
      </c>
      <c r="J439" s="3"/>
      <c r="K439" s="3"/>
      <c r="L439" s="3"/>
      <c r="M439" s="3"/>
      <c r="N439" s="3"/>
      <c r="O439" s="3"/>
      <c r="P439" s="12"/>
      <c r="Q439" s="3"/>
      <c r="R439" s="3"/>
    </row>
    <row r="440" spans="1:18">
      <c r="A440" s="3"/>
      <c r="B440" s="3"/>
      <c r="C440" s="3"/>
      <c r="D440" s="3"/>
      <c r="E440" s="3"/>
      <c r="F440" s="3"/>
      <c r="G440" s="13" t="str">
        <f t="shared" si="18"/>
        <v/>
      </c>
      <c r="H440" s="13" t="str">
        <f t="shared" si="19"/>
        <v/>
      </c>
      <c r="I440" s="13" t="str">
        <f t="shared" si="20"/>
        <v/>
      </c>
      <c r="J440" s="3"/>
      <c r="K440" s="3"/>
      <c r="L440" s="3"/>
      <c r="M440" s="3"/>
      <c r="N440" s="3"/>
      <c r="O440" s="3"/>
      <c r="P440" s="12"/>
      <c r="Q440" s="3"/>
      <c r="R440" s="3"/>
    </row>
    <row r="441" spans="1:18">
      <c r="A441" s="3"/>
      <c r="B441" s="3"/>
      <c r="C441" s="3"/>
      <c r="D441" s="3"/>
      <c r="E441" s="3"/>
      <c r="F441" s="3"/>
      <c r="G441" s="13" t="str">
        <f t="shared" si="18"/>
        <v/>
      </c>
      <c r="H441" s="13" t="str">
        <f t="shared" si="19"/>
        <v/>
      </c>
      <c r="I441" s="13" t="str">
        <f t="shared" si="20"/>
        <v/>
      </c>
      <c r="J441" s="3"/>
      <c r="K441" s="3"/>
      <c r="L441" s="3"/>
      <c r="M441" s="3"/>
      <c r="N441" s="3"/>
      <c r="O441" s="3"/>
      <c r="P441" s="12"/>
      <c r="Q441" s="3"/>
      <c r="R441" s="3"/>
    </row>
    <row r="442" spans="1:18">
      <c r="A442" s="3"/>
      <c r="B442" s="3"/>
      <c r="C442" s="3"/>
      <c r="D442" s="3"/>
      <c r="E442" s="3"/>
      <c r="F442" s="3"/>
      <c r="G442" s="13" t="str">
        <f t="shared" si="18"/>
        <v/>
      </c>
      <c r="H442" s="13" t="str">
        <f t="shared" si="19"/>
        <v/>
      </c>
      <c r="I442" s="13" t="str">
        <f t="shared" si="20"/>
        <v/>
      </c>
      <c r="J442" s="3"/>
      <c r="K442" s="3"/>
      <c r="L442" s="3"/>
      <c r="M442" s="3"/>
      <c r="N442" s="3"/>
      <c r="O442" s="3"/>
      <c r="P442" s="12"/>
      <c r="Q442" s="3"/>
      <c r="R442" s="3"/>
    </row>
    <row r="443" spans="1:18">
      <c r="A443" s="3"/>
      <c r="B443" s="3"/>
      <c r="C443" s="3"/>
      <c r="D443" s="3"/>
      <c r="E443" s="3"/>
      <c r="F443" s="3"/>
      <c r="G443" s="13" t="str">
        <f t="shared" si="18"/>
        <v/>
      </c>
      <c r="H443" s="13" t="str">
        <f t="shared" si="19"/>
        <v/>
      </c>
      <c r="I443" s="13" t="str">
        <f t="shared" si="20"/>
        <v/>
      </c>
      <c r="J443" s="3"/>
      <c r="K443" s="3"/>
      <c r="L443" s="3"/>
      <c r="M443" s="3"/>
      <c r="N443" s="3"/>
      <c r="O443" s="3"/>
      <c r="P443" s="12"/>
      <c r="Q443" s="3"/>
      <c r="R443" s="3"/>
    </row>
    <row r="444" spans="1:18">
      <c r="A444" s="3"/>
      <c r="B444" s="3"/>
      <c r="C444" s="3"/>
      <c r="D444" s="3"/>
      <c r="E444" s="3"/>
      <c r="F444" s="3"/>
      <c r="G444" s="13" t="str">
        <f t="shared" si="18"/>
        <v/>
      </c>
      <c r="H444" s="13" t="str">
        <f t="shared" si="19"/>
        <v/>
      </c>
      <c r="I444" s="13" t="str">
        <f t="shared" si="20"/>
        <v/>
      </c>
      <c r="J444" s="3"/>
      <c r="K444" s="3"/>
      <c r="L444" s="3"/>
      <c r="M444" s="3"/>
      <c r="N444" s="3"/>
      <c r="O444" s="3"/>
      <c r="P444" s="12"/>
      <c r="Q444" s="3"/>
      <c r="R444" s="3"/>
    </row>
    <row r="445" spans="1:18">
      <c r="A445" s="3"/>
      <c r="B445" s="3"/>
      <c r="C445" s="3"/>
      <c r="D445" s="3"/>
      <c r="E445" s="3"/>
      <c r="F445" s="3"/>
      <c r="G445" s="13" t="str">
        <f t="shared" si="18"/>
        <v/>
      </c>
      <c r="H445" s="13" t="str">
        <f t="shared" si="19"/>
        <v/>
      </c>
      <c r="I445" s="13" t="str">
        <f t="shared" si="20"/>
        <v/>
      </c>
      <c r="J445" s="3"/>
      <c r="K445" s="3"/>
      <c r="L445" s="3"/>
      <c r="M445" s="3"/>
      <c r="N445" s="3"/>
      <c r="O445" s="3"/>
      <c r="P445" s="12"/>
      <c r="Q445" s="3"/>
      <c r="R445" s="3"/>
    </row>
    <row r="446" spans="1:18">
      <c r="A446" s="3"/>
      <c r="B446" s="3"/>
      <c r="C446" s="3"/>
      <c r="D446" s="3"/>
      <c r="E446" s="3"/>
      <c r="F446" s="3"/>
      <c r="G446" s="13" t="str">
        <f t="shared" si="18"/>
        <v/>
      </c>
      <c r="H446" s="13" t="str">
        <f t="shared" si="19"/>
        <v/>
      </c>
      <c r="I446" s="13" t="str">
        <f t="shared" si="20"/>
        <v/>
      </c>
      <c r="J446" s="3"/>
      <c r="K446" s="3"/>
      <c r="L446" s="3"/>
      <c r="M446" s="3"/>
      <c r="N446" s="3"/>
      <c r="O446" s="3"/>
      <c r="P446" s="12"/>
      <c r="Q446" s="3"/>
      <c r="R446" s="3"/>
    </row>
    <row r="447" spans="1:18">
      <c r="A447" s="3"/>
      <c r="B447" s="3"/>
      <c r="C447" s="3"/>
      <c r="D447" s="3"/>
      <c r="E447" s="3"/>
      <c r="F447" s="3"/>
      <c r="G447" s="13" t="str">
        <f t="shared" si="18"/>
        <v/>
      </c>
      <c r="H447" s="13" t="str">
        <f t="shared" si="19"/>
        <v/>
      </c>
      <c r="I447" s="13" t="str">
        <f t="shared" si="20"/>
        <v/>
      </c>
      <c r="J447" s="3"/>
      <c r="K447" s="3"/>
      <c r="L447" s="3"/>
      <c r="M447" s="3"/>
      <c r="N447" s="3"/>
      <c r="O447" s="3"/>
      <c r="P447" s="12"/>
      <c r="Q447" s="3"/>
      <c r="R447" s="3"/>
    </row>
    <row r="448" spans="1:18">
      <c r="A448" s="3"/>
      <c r="B448" s="3"/>
      <c r="C448" s="3"/>
      <c r="D448" s="3"/>
      <c r="E448" s="3"/>
      <c r="F448" s="3"/>
      <c r="G448" s="13" t="str">
        <f t="shared" si="18"/>
        <v/>
      </c>
      <c r="H448" s="13" t="str">
        <f t="shared" si="19"/>
        <v/>
      </c>
      <c r="I448" s="13" t="str">
        <f t="shared" si="20"/>
        <v/>
      </c>
      <c r="J448" s="3"/>
      <c r="K448" s="3"/>
      <c r="L448" s="3"/>
      <c r="M448" s="3"/>
      <c r="N448" s="3"/>
      <c r="O448" s="3"/>
      <c r="P448" s="12"/>
      <c r="Q448" s="3"/>
      <c r="R448" s="3"/>
    </row>
    <row r="449" spans="1:18">
      <c r="A449" s="3"/>
      <c r="B449" s="3"/>
      <c r="C449" s="3"/>
      <c r="D449" s="3"/>
      <c r="E449" s="3"/>
      <c r="F449" s="3"/>
      <c r="G449" s="13" t="str">
        <f t="shared" si="18"/>
        <v/>
      </c>
      <c r="H449" s="13" t="str">
        <f t="shared" si="19"/>
        <v/>
      </c>
      <c r="I449" s="13" t="str">
        <f t="shared" si="20"/>
        <v/>
      </c>
      <c r="J449" s="3"/>
      <c r="K449" s="3"/>
      <c r="L449" s="3"/>
      <c r="M449" s="3"/>
      <c r="N449" s="3"/>
      <c r="O449" s="3"/>
      <c r="P449" s="12"/>
      <c r="Q449" s="3"/>
      <c r="R449" s="3"/>
    </row>
    <row r="450" spans="1:18">
      <c r="A450" s="3"/>
      <c r="B450" s="3"/>
      <c r="C450" s="3"/>
      <c r="D450" s="3"/>
      <c r="E450" s="3"/>
      <c r="F450" s="3"/>
      <c r="G450" s="13" t="str">
        <f t="shared" si="18"/>
        <v/>
      </c>
      <c r="H450" s="13" t="str">
        <f t="shared" si="19"/>
        <v/>
      </c>
      <c r="I450" s="13" t="str">
        <f t="shared" si="20"/>
        <v/>
      </c>
      <c r="J450" s="3"/>
      <c r="K450" s="3"/>
      <c r="L450" s="3"/>
      <c r="M450" s="3"/>
      <c r="N450" s="3"/>
      <c r="O450" s="3"/>
      <c r="P450" s="12"/>
      <c r="Q450" s="3"/>
      <c r="R450" s="3"/>
    </row>
    <row r="451" spans="1:18">
      <c r="A451" s="3"/>
      <c r="B451" s="3"/>
      <c r="C451" s="3"/>
      <c r="D451" s="3"/>
      <c r="E451" s="3"/>
      <c r="F451" s="3"/>
      <c r="G451" s="13" t="str">
        <f t="shared" ref="G451:G500" si="21">IF(E451="","",E451/5)</f>
        <v/>
      </c>
      <c r="H451" s="13" t="str">
        <f t="shared" ref="H451:H500" si="22">IF(E451="","",E451/6)</f>
        <v/>
      </c>
      <c r="I451" s="13" t="str">
        <f t="shared" ref="I451:I500" si="23">IF(E451="","",E451/7)</f>
        <v/>
      </c>
      <c r="J451" s="3"/>
      <c r="K451" s="3"/>
      <c r="L451" s="3"/>
      <c r="M451" s="3"/>
      <c r="N451" s="3"/>
      <c r="O451" s="3"/>
      <c r="P451" s="12"/>
      <c r="Q451" s="3"/>
      <c r="R451" s="3"/>
    </row>
    <row r="452" spans="1:18">
      <c r="A452" s="3"/>
      <c r="B452" s="3"/>
      <c r="C452" s="3"/>
      <c r="D452" s="3"/>
      <c r="E452" s="3"/>
      <c r="F452" s="3"/>
      <c r="G452" s="13" t="str">
        <f t="shared" si="21"/>
        <v/>
      </c>
      <c r="H452" s="13" t="str">
        <f t="shared" si="22"/>
        <v/>
      </c>
      <c r="I452" s="13" t="str">
        <f t="shared" si="23"/>
        <v/>
      </c>
      <c r="J452" s="3"/>
      <c r="K452" s="3"/>
      <c r="L452" s="3"/>
      <c r="M452" s="3"/>
      <c r="N452" s="3"/>
      <c r="O452" s="3"/>
      <c r="P452" s="12"/>
      <c r="Q452" s="3"/>
      <c r="R452" s="3"/>
    </row>
    <row r="453" spans="1:18">
      <c r="A453" s="3"/>
      <c r="B453" s="3"/>
      <c r="C453" s="3"/>
      <c r="D453" s="3"/>
      <c r="E453" s="3"/>
      <c r="F453" s="3"/>
      <c r="G453" s="13" t="str">
        <f t="shared" si="21"/>
        <v/>
      </c>
      <c r="H453" s="13" t="str">
        <f t="shared" si="22"/>
        <v/>
      </c>
      <c r="I453" s="13" t="str">
        <f t="shared" si="23"/>
        <v/>
      </c>
      <c r="J453" s="3"/>
      <c r="K453" s="3"/>
      <c r="L453" s="3"/>
      <c r="M453" s="3"/>
      <c r="N453" s="3"/>
      <c r="O453" s="3"/>
      <c r="P453" s="12"/>
      <c r="Q453" s="3"/>
      <c r="R453" s="3"/>
    </row>
    <row r="454" spans="1:18">
      <c r="A454" s="3"/>
      <c r="B454" s="3"/>
      <c r="C454" s="3"/>
      <c r="D454" s="3"/>
      <c r="E454" s="3"/>
      <c r="F454" s="3"/>
      <c r="G454" s="13" t="str">
        <f t="shared" si="21"/>
        <v/>
      </c>
      <c r="H454" s="13" t="str">
        <f t="shared" si="22"/>
        <v/>
      </c>
      <c r="I454" s="13" t="str">
        <f t="shared" si="23"/>
        <v/>
      </c>
      <c r="J454" s="3"/>
      <c r="K454" s="3"/>
      <c r="L454" s="3"/>
      <c r="M454" s="3"/>
      <c r="N454" s="3"/>
      <c r="O454" s="3"/>
      <c r="P454" s="12"/>
      <c r="Q454" s="3"/>
      <c r="R454" s="3"/>
    </row>
    <row r="455" spans="1:18">
      <c r="A455" s="3"/>
      <c r="B455" s="3"/>
      <c r="C455" s="3"/>
      <c r="D455" s="3"/>
      <c r="E455" s="3"/>
      <c r="F455" s="3"/>
      <c r="G455" s="13" t="str">
        <f t="shared" si="21"/>
        <v/>
      </c>
      <c r="H455" s="13" t="str">
        <f t="shared" si="22"/>
        <v/>
      </c>
      <c r="I455" s="13" t="str">
        <f t="shared" si="23"/>
        <v/>
      </c>
      <c r="J455" s="3"/>
      <c r="K455" s="3"/>
      <c r="L455" s="3"/>
      <c r="M455" s="3"/>
      <c r="N455" s="3"/>
      <c r="O455" s="3"/>
      <c r="P455" s="12"/>
      <c r="Q455" s="3"/>
      <c r="R455" s="3"/>
    </row>
    <row r="456" spans="1:18">
      <c r="A456" s="3"/>
      <c r="B456" s="3"/>
      <c r="C456" s="3"/>
      <c r="D456" s="3"/>
      <c r="E456" s="3"/>
      <c r="F456" s="3"/>
      <c r="G456" s="13" t="str">
        <f t="shared" si="21"/>
        <v/>
      </c>
      <c r="H456" s="13" t="str">
        <f t="shared" si="22"/>
        <v/>
      </c>
      <c r="I456" s="13" t="str">
        <f t="shared" si="23"/>
        <v/>
      </c>
      <c r="J456" s="3"/>
      <c r="K456" s="3"/>
      <c r="L456" s="3"/>
      <c r="M456" s="3"/>
      <c r="N456" s="3"/>
      <c r="O456" s="3"/>
      <c r="P456" s="12"/>
      <c r="Q456" s="3"/>
      <c r="R456" s="3"/>
    </row>
    <row r="457" spans="1:18">
      <c r="A457" s="3"/>
      <c r="B457" s="3"/>
      <c r="C457" s="3"/>
      <c r="D457" s="3"/>
      <c r="E457" s="3"/>
      <c r="F457" s="3"/>
      <c r="G457" s="13" t="str">
        <f t="shared" si="21"/>
        <v/>
      </c>
      <c r="H457" s="13" t="str">
        <f t="shared" si="22"/>
        <v/>
      </c>
      <c r="I457" s="13" t="str">
        <f t="shared" si="23"/>
        <v/>
      </c>
      <c r="J457" s="3"/>
      <c r="K457" s="3"/>
      <c r="L457" s="3"/>
      <c r="M457" s="3"/>
      <c r="N457" s="3"/>
      <c r="O457" s="3"/>
      <c r="P457" s="12"/>
      <c r="Q457" s="3"/>
      <c r="R457" s="3"/>
    </row>
    <row r="458" spans="1:18">
      <c r="A458" s="3"/>
      <c r="B458" s="3"/>
      <c r="C458" s="3"/>
      <c r="D458" s="3"/>
      <c r="E458" s="3"/>
      <c r="F458" s="3"/>
      <c r="G458" s="13" t="str">
        <f t="shared" si="21"/>
        <v/>
      </c>
      <c r="H458" s="13" t="str">
        <f t="shared" si="22"/>
        <v/>
      </c>
      <c r="I458" s="13" t="str">
        <f t="shared" si="23"/>
        <v/>
      </c>
      <c r="J458" s="3"/>
      <c r="K458" s="3"/>
      <c r="L458" s="3"/>
      <c r="M458" s="3"/>
      <c r="N458" s="3"/>
      <c r="O458" s="3"/>
      <c r="P458" s="12"/>
      <c r="Q458" s="3"/>
      <c r="R458" s="3"/>
    </row>
    <row r="459" spans="1:18">
      <c r="A459" s="3"/>
      <c r="B459" s="3"/>
      <c r="C459" s="3"/>
      <c r="D459" s="3"/>
      <c r="E459" s="3"/>
      <c r="F459" s="3"/>
      <c r="G459" s="13" t="str">
        <f t="shared" si="21"/>
        <v/>
      </c>
      <c r="H459" s="13" t="str">
        <f t="shared" si="22"/>
        <v/>
      </c>
      <c r="I459" s="13" t="str">
        <f t="shared" si="23"/>
        <v/>
      </c>
      <c r="J459" s="3"/>
      <c r="K459" s="3"/>
      <c r="L459" s="3"/>
      <c r="M459" s="3"/>
      <c r="N459" s="3"/>
      <c r="O459" s="3"/>
      <c r="P459" s="12"/>
      <c r="Q459" s="3"/>
      <c r="R459" s="3"/>
    </row>
    <row r="460" spans="1:18">
      <c r="A460" s="3"/>
      <c r="B460" s="3"/>
      <c r="C460" s="3"/>
      <c r="D460" s="3"/>
      <c r="E460" s="3"/>
      <c r="F460" s="3"/>
      <c r="G460" s="13" t="str">
        <f t="shared" si="21"/>
        <v/>
      </c>
      <c r="H460" s="13" t="str">
        <f t="shared" si="22"/>
        <v/>
      </c>
      <c r="I460" s="13" t="str">
        <f t="shared" si="23"/>
        <v/>
      </c>
      <c r="J460" s="3"/>
      <c r="K460" s="3"/>
      <c r="L460" s="3"/>
      <c r="M460" s="3"/>
      <c r="N460" s="3"/>
      <c r="O460" s="3"/>
      <c r="P460" s="12"/>
      <c r="Q460" s="3"/>
      <c r="R460" s="3"/>
    </row>
    <row r="461" spans="1:18">
      <c r="A461" s="3"/>
      <c r="B461" s="3"/>
      <c r="C461" s="3"/>
      <c r="D461" s="3"/>
      <c r="E461" s="3"/>
      <c r="F461" s="3"/>
      <c r="G461" s="13" t="str">
        <f t="shared" si="21"/>
        <v/>
      </c>
      <c r="H461" s="13" t="str">
        <f t="shared" si="22"/>
        <v/>
      </c>
      <c r="I461" s="13" t="str">
        <f t="shared" si="23"/>
        <v/>
      </c>
      <c r="J461" s="3"/>
      <c r="K461" s="3"/>
      <c r="L461" s="3"/>
      <c r="M461" s="3"/>
      <c r="N461" s="3"/>
      <c r="O461" s="3"/>
      <c r="P461" s="12"/>
      <c r="Q461" s="3"/>
      <c r="R461" s="3"/>
    </row>
    <row r="462" spans="1:18">
      <c r="A462" s="3"/>
      <c r="B462" s="3"/>
      <c r="C462" s="3"/>
      <c r="D462" s="3"/>
      <c r="E462" s="3"/>
      <c r="F462" s="3"/>
      <c r="G462" s="13" t="str">
        <f t="shared" si="21"/>
        <v/>
      </c>
      <c r="H462" s="13" t="str">
        <f t="shared" si="22"/>
        <v/>
      </c>
      <c r="I462" s="13" t="str">
        <f t="shared" si="23"/>
        <v/>
      </c>
      <c r="J462" s="3"/>
      <c r="K462" s="3"/>
      <c r="L462" s="3"/>
      <c r="M462" s="3"/>
      <c r="N462" s="3"/>
      <c r="O462" s="3"/>
      <c r="P462" s="12"/>
      <c r="Q462" s="3"/>
      <c r="R462" s="3"/>
    </row>
    <row r="463" spans="1:18">
      <c r="A463" s="3"/>
      <c r="B463" s="3"/>
      <c r="C463" s="3"/>
      <c r="D463" s="3"/>
      <c r="E463" s="3"/>
      <c r="F463" s="3"/>
      <c r="G463" s="13" t="str">
        <f t="shared" si="21"/>
        <v/>
      </c>
      <c r="H463" s="13" t="str">
        <f t="shared" si="22"/>
        <v/>
      </c>
      <c r="I463" s="13" t="str">
        <f t="shared" si="23"/>
        <v/>
      </c>
      <c r="J463" s="3"/>
      <c r="K463" s="3"/>
      <c r="L463" s="3"/>
      <c r="M463" s="3"/>
      <c r="N463" s="3"/>
      <c r="O463" s="3"/>
      <c r="P463" s="12"/>
      <c r="Q463" s="3"/>
      <c r="R463" s="3"/>
    </row>
    <row r="464" spans="1:18">
      <c r="A464" s="3"/>
      <c r="B464" s="3"/>
      <c r="C464" s="3"/>
      <c r="D464" s="3"/>
      <c r="E464" s="3"/>
      <c r="F464" s="3"/>
      <c r="G464" s="13" t="str">
        <f t="shared" si="21"/>
        <v/>
      </c>
      <c r="H464" s="13" t="str">
        <f t="shared" si="22"/>
        <v/>
      </c>
      <c r="I464" s="13" t="str">
        <f t="shared" si="23"/>
        <v/>
      </c>
      <c r="J464" s="3"/>
      <c r="K464" s="3"/>
      <c r="L464" s="3"/>
      <c r="M464" s="3"/>
      <c r="N464" s="3"/>
      <c r="O464" s="3"/>
      <c r="P464" s="12"/>
      <c r="Q464" s="3"/>
      <c r="R464" s="3"/>
    </row>
    <row r="465" spans="1:18">
      <c r="A465" s="3"/>
      <c r="B465" s="3"/>
      <c r="C465" s="3"/>
      <c r="D465" s="3"/>
      <c r="E465" s="3"/>
      <c r="F465" s="3"/>
      <c r="G465" s="13" t="str">
        <f t="shared" si="21"/>
        <v/>
      </c>
      <c r="H465" s="13" t="str">
        <f t="shared" si="22"/>
        <v/>
      </c>
      <c r="I465" s="13" t="str">
        <f t="shared" si="23"/>
        <v/>
      </c>
      <c r="J465" s="3"/>
      <c r="K465" s="3"/>
      <c r="L465" s="3"/>
      <c r="M465" s="3"/>
      <c r="N465" s="3"/>
      <c r="O465" s="3"/>
      <c r="P465" s="12"/>
      <c r="Q465" s="3"/>
      <c r="R465" s="3"/>
    </row>
    <row r="466" spans="1:18">
      <c r="A466" s="3"/>
      <c r="B466" s="3"/>
      <c r="C466" s="3"/>
      <c r="D466" s="3"/>
      <c r="E466" s="3"/>
      <c r="F466" s="3"/>
      <c r="G466" s="13" t="str">
        <f t="shared" si="21"/>
        <v/>
      </c>
      <c r="H466" s="13" t="str">
        <f t="shared" si="22"/>
        <v/>
      </c>
      <c r="I466" s="13" t="str">
        <f t="shared" si="23"/>
        <v/>
      </c>
      <c r="J466" s="3"/>
      <c r="K466" s="3"/>
      <c r="L466" s="3"/>
      <c r="M466" s="3"/>
      <c r="N466" s="3"/>
      <c r="O466" s="3"/>
      <c r="P466" s="12"/>
      <c r="Q466" s="3"/>
      <c r="R466" s="3"/>
    </row>
    <row r="467" spans="1:18">
      <c r="A467" s="3"/>
      <c r="B467" s="3"/>
      <c r="C467" s="3"/>
      <c r="D467" s="3"/>
      <c r="E467" s="3"/>
      <c r="F467" s="3"/>
      <c r="G467" s="13" t="str">
        <f t="shared" si="21"/>
        <v/>
      </c>
      <c r="H467" s="13" t="str">
        <f t="shared" si="22"/>
        <v/>
      </c>
      <c r="I467" s="13" t="str">
        <f t="shared" si="23"/>
        <v/>
      </c>
      <c r="J467" s="3"/>
      <c r="K467" s="3"/>
      <c r="L467" s="3"/>
      <c r="M467" s="3"/>
      <c r="N467" s="3"/>
      <c r="O467" s="3"/>
      <c r="P467" s="12"/>
      <c r="Q467" s="3"/>
      <c r="R467" s="3"/>
    </row>
    <row r="468" spans="1:18">
      <c r="A468" s="3"/>
      <c r="B468" s="3"/>
      <c r="C468" s="3"/>
      <c r="D468" s="3"/>
      <c r="E468" s="3"/>
      <c r="F468" s="3"/>
      <c r="G468" s="13" t="str">
        <f t="shared" si="21"/>
        <v/>
      </c>
      <c r="H468" s="13" t="str">
        <f t="shared" si="22"/>
        <v/>
      </c>
      <c r="I468" s="13" t="str">
        <f t="shared" si="23"/>
        <v/>
      </c>
      <c r="J468" s="3"/>
      <c r="K468" s="3"/>
      <c r="L468" s="3"/>
      <c r="M468" s="3"/>
      <c r="N468" s="3"/>
      <c r="O468" s="3"/>
      <c r="P468" s="12"/>
      <c r="Q468" s="3"/>
      <c r="R468" s="3"/>
    </row>
    <row r="469" spans="1:18">
      <c r="A469" s="3"/>
      <c r="B469" s="3"/>
      <c r="C469" s="3"/>
      <c r="D469" s="3"/>
      <c r="E469" s="3"/>
      <c r="F469" s="3"/>
      <c r="G469" s="13" t="str">
        <f t="shared" si="21"/>
        <v/>
      </c>
      <c r="H469" s="13" t="str">
        <f t="shared" si="22"/>
        <v/>
      </c>
      <c r="I469" s="13" t="str">
        <f t="shared" si="23"/>
        <v/>
      </c>
      <c r="J469" s="3"/>
      <c r="K469" s="3"/>
      <c r="L469" s="3"/>
      <c r="M469" s="3"/>
      <c r="N469" s="3"/>
      <c r="O469" s="3"/>
      <c r="P469" s="12"/>
      <c r="Q469" s="3"/>
      <c r="R469" s="3"/>
    </row>
    <row r="470" spans="1:18">
      <c r="A470" s="3"/>
      <c r="B470" s="3"/>
      <c r="C470" s="3"/>
      <c r="D470" s="3"/>
      <c r="E470" s="3"/>
      <c r="F470" s="3"/>
      <c r="G470" s="13" t="str">
        <f t="shared" si="21"/>
        <v/>
      </c>
      <c r="H470" s="13" t="str">
        <f t="shared" si="22"/>
        <v/>
      </c>
      <c r="I470" s="13" t="str">
        <f t="shared" si="23"/>
        <v/>
      </c>
      <c r="J470" s="3"/>
      <c r="K470" s="3"/>
      <c r="L470" s="3"/>
      <c r="M470" s="3"/>
      <c r="N470" s="3"/>
      <c r="O470" s="3"/>
      <c r="P470" s="12"/>
      <c r="Q470" s="3"/>
      <c r="R470" s="3"/>
    </row>
    <row r="471" spans="1:18">
      <c r="A471" s="3"/>
      <c r="B471" s="3"/>
      <c r="C471" s="3"/>
      <c r="D471" s="3"/>
      <c r="E471" s="3"/>
      <c r="F471" s="3"/>
      <c r="G471" s="13" t="str">
        <f t="shared" si="21"/>
        <v/>
      </c>
      <c r="H471" s="13" t="str">
        <f t="shared" si="22"/>
        <v/>
      </c>
      <c r="I471" s="13" t="str">
        <f t="shared" si="23"/>
        <v/>
      </c>
      <c r="J471" s="3"/>
      <c r="K471" s="3"/>
      <c r="L471" s="3"/>
      <c r="M471" s="3"/>
      <c r="N471" s="3"/>
      <c r="O471" s="3"/>
      <c r="P471" s="12"/>
      <c r="Q471" s="3"/>
      <c r="R471" s="3"/>
    </row>
    <row r="472" spans="1:18">
      <c r="A472" s="3"/>
      <c r="B472" s="3"/>
      <c r="C472" s="3"/>
      <c r="D472" s="3"/>
      <c r="E472" s="3"/>
      <c r="F472" s="3"/>
      <c r="G472" s="13" t="str">
        <f t="shared" si="21"/>
        <v/>
      </c>
      <c r="H472" s="13" t="str">
        <f t="shared" si="22"/>
        <v/>
      </c>
      <c r="I472" s="13" t="str">
        <f t="shared" si="23"/>
        <v/>
      </c>
      <c r="J472" s="3"/>
      <c r="K472" s="3"/>
      <c r="L472" s="3"/>
      <c r="M472" s="3"/>
      <c r="N472" s="3"/>
      <c r="O472" s="3"/>
      <c r="P472" s="12"/>
      <c r="Q472" s="3"/>
      <c r="R472" s="3"/>
    </row>
    <row r="473" spans="1:18">
      <c r="A473" s="3"/>
      <c r="B473" s="3"/>
      <c r="C473" s="3"/>
      <c r="D473" s="3"/>
      <c r="E473" s="3"/>
      <c r="F473" s="3"/>
      <c r="G473" s="13" t="str">
        <f t="shared" si="21"/>
        <v/>
      </c>
      <c r="H473" s="13" t="str">
        <f t="shared" si="22"/>
        <v/>
      </c>
      <c r="I473" s="13" t="str">
        <f t="shared" si="23"/>
        <v/>
      </c>
      <c r="J473" s="3"/>
      <c r="K473" s="3"/>
      <c r="L473" s="3"/>
      <c r="M473" s="3"/>
      <c r="N473" s="3"/>
      <c r="O473" s="3"/>
      <c r="P473" s="12"/>
      <c r="Q473" s="3"/>
      <c r="R473" s="3"/>
    </row>
    <row r="474" spans="1:18">
      <c r="A474" s="3"/>
      <c r="B474" s="3"/>
      <c r="C474" s="3"/>
      <c r="D474" s="3"/>
      <c r="E474" s="3"/>
      <c r="F474" s="3"/>
      <c r="G474" s="13" t="str">
        <f t="shared" si="21"/>
        <v/>
      </c>
      <c r="H474" s="13" t="str">
        <f t="shared" si="22"/>
        <v/>
      </c>
      <c r="I474" s="13" t="str">
        <f t="shared" si="23"/>
        <v/>
      </c>
      <c r="J474" s="3"/>
      <c r="K474" s="3"/>
      <c r="L474" s="3"/>
      <c r="M474" s="3"/>
      <c r="N474" s="3"/>
      <c r="O474" s="3"/>
      <c r="P474" s="12"/>
      <c r="Q474" s="3"/>
      <c r="R474" s="3"/>
    </row>
    <row r="475" spans="1:18">
      <c r="A475" s="3"/>
      <c r="B475" s="3"/>
      <c r="C475" s="3"/>
      <c r="D475" s="3"/>
      <c r="E475" s="3"/>
      <c r="F475" s="3"/>
      <c r="G475" s="13" t="str">
        <f t="shared" si="21"/>
        <v/>
      </c>
      <c r="H475" s="13" t="str">
        <f t="shared" si="22"/>
        <v/>
      </c>
      <c r="I475" s="13" t="str">
        <f t="shared" si="23"/>
        <v/>
      </c>
      <c r="J475" s="3"/>
      <c r="K475" s="3"/>
      <c r="L475" s="3"/>
      <c r="M475" s="3"/>
      <c r="N475" s="3"/>
      <c r="O475" s="3"/>
      <c r="P475" s="12"/>
      <c r="Q475" s="3"/>
      <c r="R475" s="3"/>
    </row>
    <row r="476" spans="1:18">
      <c r="A476" s="3"/>
      <c r="B476" s="3"/>
      <c r="C476" s="3"/>
      <c r="D476" s="3"/>
      <c r="E476" s="3"/>
      <c r="F476" s="3"/>
      <c r="G476" s="13" t="str">
        <f t="shared" si="21"/>
        <v/>
      </c>
      <c r="H476" s="13" t="str">
        <f t="shared" si="22"/>
        <v/>
      </c>
      <c r="I476" s="13" t="str">
        <f t="shared" si="23"/>
        <v/>
      </c>
      <c r="J476" s="3"/>
      <c r="K476" s="3"/>
      <c r="L476" s="3"/>
      <c r="M476" s="3"/>
      <c r="N476" s="3"/>
      <c r="O476" s="3"/>
      <c r="P476" s="12"/>
      <c r="Q476" s="3"/>
      <c r="R476" s="3"/>
    </row>
    <row r="477" spans="1:18">
      <c r="A477" s="3"/>
      <c r="B477" s="3"/>
      <c r="C477" s="3"/>
      <c r="D477" s="3"/>
      <c r="E477" s="3"/>
      <c r="F477" s="3"/>
      <c r="G477" s="13" t="str">
        <f t="shared" si="21"/>
        <v/>
      </c>
      <c r="H477" s="13" t="str">
        <f t="shared" si="22"/>
        <v/>
      </c>
      <c r="I477" s="13" t="str">
        <f t="shared" si="23"/>
        <v/>
      </c>
      <c r="J477" s="3"/>
      <c r="K477" s="3"/>
      <c r="L477" s="3"/>
      <c r="M477" s="3"/>
      <c r="N477" s="3"/>
      <c r="O477" s="3"/>
      <c r="P477" s="12"/>
      <c r="Q477" s="3"/>
      <c r="R477" s="3"/>
    </row>
    <row r="478" spans="1:18">
      <c r="A478" s="3"/>
      <c r="B478" s="3"/>
      <c r="C478" s="3"/>
      <c r="D478" s="3"/>
      <c r="E478" s="3"/>
      <c r="F478" s="3"/>
      <c r="G478" s="13" t="str">
        <f t="shared" si="21"/>
        <v/>
      </c>
      <c r="H478" s="13" t="str">
        <f t="shared" si="22"/>
        <v/>
      </c>
      <c r="I478" s="13" t="str">
        <f t="shared" si="23"/>
        <v/>
      </c>
      <c r="J478" s="3"/>
      <c r="K478" s="3"/>
      <c r="L478" s="3"/>
      <c r="M478" s="3"/>
      <c r="N478" s="3"/>
      <c r="O478" s="3"/>
      <c r="P478" s="12"/>
      <c r="Q478" s="3"/>
      <c r="R478" s="3"/>
    </row>
    <row r="479" spans="1:18">
      <c r="A479" s="3"/>
      <c r="B479" s="3"/>
      <c r="C479" s="3"/>
      <c r="D479" s="3"/>
      <c r="E479" s="3"/>
      <c r="F479" s="3"/>
      <c r="G479" s="13" t="str">
        <f t="shared" si="21"/>
        <v/>
      </c>
      <c r="H479" s="13" t="str">
        <f t="shared" si="22"/>
        <v/>
      </c>
      <c r="I479" s="13" t="str">
        <f t="shared" si="23"/>
        <v/>
      </c>
      <c r="J479" s="3"/>
      <c r="K479" s="3"/>
      <c r="L479" s="3"/>
      <c r="M479" s="3"/>
      <c r="N479" s="3"/>
      <c r="O479" s="3"/>
      <c r="P479" s="12"/>
      <c r="Q479" s="3"/>
      <c r="R479" s="3"/>
    </row>
    <row r="480" spans="1:18">
      <c r="A480" s="3"/>
      <c r="B480" s="3"/>
      <c r="C480" s="3"/>
      <c r="D480" s="3"/>
      <c r="E480" s="3"/>
      <c r="F480" s="3"/>
      <c r="G480" s="13" t="str">
        <f t="shared" si="21"/>
        <v/>
      </c>
      <c r="H480" s="13" t="str">
        <f t="shared" si="22"/>
        <v/>
      </c>
      <c r="I480" s="13" t="str">
        <f t="shared" si="23"/>
        <v/>
      </c>
      <c r="J480" s="3"/>
      <c r="K480" s="3"/>
      <c r="L480" s="3"/>
      <c r="M480" s="3"/>
      <c r="N480" s="3"/>
      <c r="O480" s="3"/>
      <c r="P480" s="12"/>
      <c r="Q480" s="3"/>
      <c r="R480" s="3"/>
    </row>
    <row r="481" spans="1:18">
      <c r="A481" s="3"/>
      <c r="B481" s="3"/>
      <c r="C481" s="3"/>
      <c r="D481" s="3"/>
      <c r="E481" s="3"/>
      <c r="F481" s="3"/>
      <c r="G481" s="13" t="str">
        <f t="shared" si="21"/>
        <v/>
      </c>
      <c r="H481" s="13" t="str">
        <f t="shared" si="22"/>
        <v/>
      </c>
      <c r="I481" s="13" t="str">
        <f t="shared" si="23"/>
        <v/>
      </c>
      <c r="J481" s="3"/>
      <c r="K481" s="3"/>
      <c r="L481" s="3"/>
      <c r="M481" s="3"/>
      <c r="N481" s="3"/>
      <c r="O481" s="3"/>
      <c r="P481" s="12"/>
      <c r="Q481" s="3"/>
      <c r="R481" s="3"/>
    </row>
    <row r="482" spans="1:18">
      <c r="A482" s="3"/>
      <c r="B482" s="3"/>
      <c r="C482" s="3"/>
      <c r="D482" s="3"/>
      <c r="E482" s="3"/>
      <c r="F482" s="3"/>
      <c r="G482" s="13" t="str">
        <f t="shared" si="21"/>
        <v/>
      </c>
      <c r="H482" s="13" t="str">
        <f t="shared" si="22"/>
        <v/>
      </c>
      <c r="I482" s="13" t="str">
        <f t="shared" si="23"/>
        <v/>
      </c>
      <c r="J482" s="3"/>
      <c r="K482" s="3"/>
      <c r="L482" s="3"/>
      <c r="M482" s="3"/>
      <c r="N482" s="3"/>
      <c r="O482" s="3"/>
      <c r="P482" s="12"/>
      <c r="Q482" s="3"/>
      <c r="R482" s="3"/>
    </row>
    <row r="483" spans="1:18">
      <c r="A483" s="3"/>
      <c r="B483" s="3"/>
      <c r="C483" s="3"/>
      <c r="D483" s="3"/>
      <c r="E483" s="3"/>
      <c r="F483" s="3"/>
      <c r="G483" s="13" t="str">
        <f t="shared" si="21"/>
        <v/>
      </c>
      <c r="H483" s="13" t="str">
        <f t="shared" si="22"/>
        <v/>
      </c>
      <c r="I483" s="13" t="str">
        <f t="shared" si="23"/>
        <v/>
      </c>
      <c r="J483" s="3"/>
      <c r="K483" s="3"/>
      <c r="L483" s="3"/>
      <c r="M483" s="3"/>
      <c r="N483" s="3"/>
      <c r="O483" s="3"/>
      <c r="P483" s="12"/>
      <c r="Q483" s="3"/>
      <c r="R483" s="3"/>
    </row>
    <row r="484" spans="1:18">
      <c r="A484" s="3"/>
      <c r="B484" s="3"/>
      <c r="C484" s="3"/>
      <c r="D484" s="3"/>
      <c r="E484" s="3"/>
      <c r="F484" s="3"/>
      <c r="G484" s="13" t="str">
        <f t="shared" si="21"/>
        <v/>
      </c>
      <c r="H484" s="13" t="str">
        <f t="shared" si="22"/>
        <v/>
      </c>
      <c r="I484" s="13" t="str">
        <f t="shared" si="23"/>
        <v/>
      </c>
      <c r="J484" s="3"/>
      <c r="K484" s="3"/>
      <c r="L484" s="3"/>
      <c r="M484" s="3"/>
      <c r="N484" s="3"/>
      <c r="O484" s="3"/>
      <c r="P484" s="12"/>
      <c r="Q484" s="3"/>
      <c r="R484" s="3"/>
    </row>
    <row r="485" spans="1:18">
      <c r="A485" s="3"/>
      <c r="B485" s="3"/>
      <c r="C485" s="3"/>
      <c r="D485" s="3"/>
      <c r="E485" s="3"/>
      <c r="F485" s="3"/>
      <c r="G485" s="13" t="str">
        <f t="shared" si="21"/>
        <v/>
      </c>
      <c r="H485" s="13" t="str">
        <f t="shared" si="22"/>
        <v/>
      </c>
      <c r="I485" s="13" t="str">
        <f t="shared" si="23"/>
        <v/>
      </c>
      <c r="J485" s="3"/>
      <c r="K485" s="3"/>
      <c r="L485" s="3"/>
      <c r="M485" s="3"/>
      <c r="N485" s="3"/>
      <c r="O485" s="3"/>
      <c r="P485" s="12"/>
      <c r="Q485" s="3"/>
      <c r="R485" s="3"/>
    </row>
    <row r="486" spans="1:18">
      <c r="A486" s="3"/>
      <c r="B486" s="3"/>
      <c r="C486" s="3"/>
      <c r="D486" s="3"/>
      <c r="E486" s="3"/>
      <c r="F486" s="3"/>
      <c r="G486" s="13" t="str">
        <f t="shared" si="21"/>
        <v/>
      </c>
      <c r="H486" s="13" t="str">
        <f t="shared" si="22"/>
        <v/>
      </c>
      <c r="I486" s="13" t="str">
        <f t="shared" si="23"/>
        <v/>
      </c>
      <c r="J486" s="3"/>
      <c r="K486" s="3"/>
      <c r="L486" s="3"/>
      <c r="M486" s="3"/>
      <c r="N486" s="3"/>
      <c r="O486" s="3"/>
      <c r="P486" s="12"/>
      <c r="Q486" s="3"/>
      <c r="R486" s="3"/>
    </row>
    <row r="487" spans="1:18">
      <c r="A487" s="3"/>
      <c r="B487" s="3"/>
      <c r="C487" s="3"/>
      <c r="D487" s="3"/>
      <c r="E487" s="3"/>
      <c r="F487" s="3"/>
      <c r="G487" s="13" t="str">
        <f t="shared" si="21"/>
        <v/>
      </c>
      <c r="H487" s="13" t="str">
        <f t="shared" si="22"/>
        <v/>
      </c>
      <c r="I487" s="13" t="str">
        <f t="shared" si="23"/>
        <v/>
      </c>
      <c r="J487" s="3"/>
      <c r="K487" s="3"/>
      <c r="L487" s="3"/>
      <c r="M487" s="3"/>
      <c r="N487" s="3"/>
      <c r="O487" s="3"/>
      <c r="P487" s="12"/>
      <c r="Q487" s="3"/>
      <c r="R487" s="3"/>
    </row>
    <row r="488" spans="1:18">
      <c r="A488" s="3"/>
      <c r="B488" s="3"/>
      <c r="C488" s="3"/>
      <c r="D488" s="3"/>
      <c r="E488" s="3"/>
      <c r="F488" s="3"/>
      <c r="G488" s="13" t="str">
        <f t="shared" si="21"/>
        <v/>
      </c>
      <c r="H488" s="13" t="str">
        <f t="shared" si="22"/>
        <v/>
      </c>
      <c r="I488" s="13" t="str">
        <f t="shared" si="23"/>
        <v/>
      </c>
      <c r="J488" s="3"/>
      <c r="K488" s="3"/>
      <c r="L488" s="3"/>
      <c r="M488" s="3"/>
      <c r="N488" s="3"/>
      <c r="O488" s="3"/>
      <c r="P488" s="12"/>
      <c r="Q488" s="3"/>
      <c r="R488" s="3"/>
    </row>
    <row r="489" spans="1:18">
      <c r="A489" s="3"/>
      <c r="B489" s="3"/>
      <c r="C489" s="3"/>
      <c r="D489" s="3"/>
      <c r="E489" s="3"/>
      <c r="F489" s="3"/>
      <c r="G489" s="13" t="str">
        <f t="shared" si="21"/>
        <v/>
      </c>
      <c r="H489" s="13" t="str">
        <f t="shared" si="22"/>
        <v/>
      </c>
      <c r="I489" s="13" t="str">
        <f t="shared" si="23"/>
        <v/>
      </c>
      <c r="J489" s="3"/>
      <c r="K489" s="3"/>
      <c r="L489" s="3"/>
      <c r="M489" s="3"/>
      <c r="N489" s="3"/>
      <c r="O489" s="3"/>
      <c r="P489" s="12"/>
      <c r="Q489" s="3"/>
      <c r="R489" s="3"/>
    </row>
    <row r="490" spans="1:18">
      <c r="A490" s="3"/>
      <c r="B490" s="3"/>
      <c r="C490" s="3"/>
      <c r="D490" s="3"/>
      <c r="E490" s="3"/>
      <c r="F490" s="3"/>
      <c r="G490" s="13" t="str">
        <f t="shared" si="21"/>
        <v/>
      </c>
      <c r="H490" s="13" t="str">
        <f t="shared" si="22"/>
        <v/>
      </c>
      <c r="I490" s="13" t="str">
        <f t="shared" si="23"/>
        <v/>
      </c>
      <c r="J490" s="3"/>
      <c r="K490" s="3"/>
      <c r="L490" s="3"/>
      <c r="M490" s="3"/>
      <c r="N490" s="3"/>
      <c r="O490" s="3"/>
      <c r="P490" s="12"/>
      <c r="Q490" s="3"/>
      <c r="R490" s="3"/>
    </row>
    <row r="491" spans="1:18">
      <c r="A491" s="3"/>
      <c r="B491" s="3"/>
      <c r="C491" s="3"/>
      <c r="D491" s="3"/>
      <c r="E491" s="3"/>
      <c r="F491" s="3"/>
      <c r="G491" s="13" t="str">
        <f t="shared" si="21"/>
        <v/>
      </c>
      <c r="H491" s="13" t="str">
        <f t="shared" si="22"/>
        <v/>
      </c>
      <c r="I491" s="13" t="str">
        <f t="shared" si="23"/>
        <v/>
      </c>
      <c r="J491" s="3"/>
      <c r="K491" s="3"/>
      <c r="L491" s="3"/>
      <c r="M491" s="3"/>
      <c r="N491" s="3"/>
      <c r="O491" s="3"/>
      <c r="P491" s="12"/>
      <c r="Q491" s="3"/>
      <c r="R491" s="3"/>
    </row>
    <row r="492" spans="1:18">
      <c r="A492" s="3"/>
      <c r="B492" s="3"/>
      <c r="C492" s="3"/>
      <c r="D492" s="3"/>
      <c r="E492" s="3"/>
      <c r="F492" s="3"/>
      <c r="G492" s="13" t="str">
        <f t="shared" si="21"/>
        <v/>
      </c>
      <c r="H492" s="13" t="str">
        <f t="shared" si="22"/>
        <v/>
      </c>
      <c r="I492" s="13" t="str">
        <f t="shared" si="23"/>
        <v/>
      </c>
      <c r="J492" s="3"/>
      <c r="K492" s="3"/>
      <c r="L492" s="3"/>
      <c r="M492" s="3"/>
      <c r="N492" s="3"/>
      <c r="O492" s="3"/>
      <c r="P492" s="12"/>
      <c r="Q492" s="3"/>
      <c r="R492" s="3"/>
    </row>
    <row r="493" spans="1:18">
      <c r="A493" s="3"/>
      <c r="B493" s="3"/>
      <c r="C493" s="3"/>
      <c r="D493" s="3"/>
      <c r="E493" s="3"/>
      <c r="F493" s="3"/>
      <c r="G493" s="13" t="str">
        <f t="shared" si="21"/>
        <v/>
      </c>
      <c r="H493" s="13" t="str">
        <f t="shared" si="22"/>
        <v/>
      </c>
      <c r="I493" s="13" t="str">
        <f t="shared" si="23"/>
        <v/>
      </c>
      <c r="J493" s="3"/>
      <c r="K493" s="3"/>
      <c r="L493" s="3"/>
      <c r="M493" s="3"/>
      <c r="N493" s="3"/>
      <c r="O493" s="3"/>
      <c r="P493" s="12"/>
      <c r="Q493" s="3"/>
      <c r="R493" s="3"/>
    </row>
    <row r="494" spans="1:18">
      <c r="A494" s="3"/>
      <c r="B494" s="3"/>
      <c r="C494" s="3"/>
      <c r="D494" s="3"/>
      <c r="E494" s="3"/>
      <c r="F494" s="3"/>
      <c r="G494" s="13" t="str">
        <f t="shared" si="21"/>
        <v/>
      </c>
      <c r="H494" s="13" t="str">
        <f t="shared" si="22"/>
        <v/>
      </c>
      <c r="I494" s="13" t="str">
        <f t="shared" si="23"/>
        <v/>
      </c>
      <c r="J494" s="3"/>
      <c r="K494" s="3"/>
      <c r="L494" s="3"/>
      <c r="M494" s="3"/>
      <c r="N494" s="3"/>
      <c r="O494" s="3"/>
      <c r="P494" s="12"/>
      <c r="Q494" s="3"/>
      <c r="R494" s="3"/>
    </row>
    <row r="495" spans="1:18">
      <c r="A495" s="3"/>
      <c r="B495" s="3"/>
      <c r="C495" s="3"/>
      <c r="D495" s="3"/>
      <c r="E495" s="3"/>
      <c r="F495" s="3"/>
      <c r="G495" s="13" t="str">
        <f t="shared" si="21"/>
        <v/>
      </c>
      <c r="H495" s="13" t="str">
        <f t="shared" si="22"/>
        <v/>
      </c>
      <c r="I495" s="13" t="str">
        <f t="shared" si="23"/>
        <v/>
      </c>
      <c r="J495" s="3"/>
      <c r="K495" s="3"/>
      <c r="L495" s="3"/>
      <c r="M495" s="3"/>
      <c r="N495" s="3"/>
      <c r="O495" s="3"/>
      <c r="P495" s="12"/>
      <c r="Q495" s="3"/>
      <c r="R495" s="3"/>
    </row>
    <row r="496" spans="1:18">
      <c r="A496" s="3"/>
      <c r="B496" s="3"/>
      <c r="C496" s="3"/>
      <c r="D496" s="3"/>
      <c r="E496" s="3"/>
      <c r="F496" s="3"/>
      <c r="G496" s="13" t="str">
        <f t="shared" si="21"/>
        <v/>
      </c>
      <c r="H496" s="13" t="str">
        <f t="shared" si="22"/>
        <v/>
      </c>
      <c r="I496" s="13" t="str">
        <f t="shared" si="23"/>
        <v/>
      </c>
      <c r="J496" s="3"/>
      <c r="K496" s="3"/>
      <c r="L496" s="3"/>
      <c r="M496" s="3"/>
      <c r="N496" s="3"/>
      <c r="O496" s="3"/>
      <c r="P496" s="12"/>
      <c r="Q496" s="3"/>
      <c r="R496" s="3"/>
    </row>
    <row r="497" spans="1:18">
      <c r="A497" s="3"/>
      <c r="B497" s="3"/>
      <c r="C497" s="3"/>
      <c r="D497" s="3"/>
      <c r="E497" s="3"/>
      <c r="F497" s="3"/>
      <c r="G497" s="13" t="str">
        <f t="shared" si="21"/>
        <v/>
      </c>
      <c r="H497" s="13" t="str">
        <f t="shared" si="22"/>
        <v/>
      </c>
      <c r="I497" s="13" t="str">
        <f t="shared" si="23"/>
        <v/>
      </c>
      <c r="J497" s="3"/>
      <c r="K497" s="3"/>
      <c r="L497" s="3"/>
      <c r="M497" s="3"/>
      <c r="N497" s="3"/>
      <c r="O497" s="3"/>
      <c r="P497" s="12"/>
      <c r="Q497" s="3"/>
      <c r="R497" s="3"/>
    </row>
    <row r="498" spans="1:18">
      <c r="A498" s="3"/>
      <c r="B498" s="3"/>
      <c r="C498" s="3"/>
      <c r="D498" s="3"/>
      <c r="E498" s="3"/>
      <c r="F498" s="3"/>
      <c r="G498" s="13" t="str">
        <f t="shared" si="21"/>
        <v/>
      </c>
      <c r="H498" s="13" t="str">
        <f t="shared" si="22"/>
        <v/>
      </c>
      <c r="I498" s="13" t="str">
        <f t="shared" si="23"/>
        <v/>
      </c>
      <c r="J498" s="3"/>
      <c r="K498" s="3"/>
      <c r="L498" s="3"/>
      <c r="M498" s="3"/>
      <c r="N498" s="3"/>
      <c r="O498" s="3"/>
      <c r="P498" s="12"/>
      <c r="Q498" s="3"/>
      <c r="R498" s="3"/>
    </row>
    <row r="499" spans="1:18">
      <c r="A499" s="3"/>
      <c r="B499" s="3"/>
      <c r="C499" s="3"/>
      <c r="D499" s="3"/>
      <c r="E499" s="3"/>
      <c r="F499" s="3"/>
      <c r="G499" s="13" t="str">
        <f t="shared" si="21"/>
        <v/>
      </c>
      <c r="H499" s="13" t="str">
        <f t="shared" si="22"/>
        <v/>
      </c>
      <c r="I499" s="13" t="str">
        <f t="shared" si="23"/>
        <v/>
      </c>
      <c r="J499" s="3"/>
      <c r="K499" s="3"/>
      <c r="L499" s="3"/>
      <c r="M499" s="3"/>
      <c r="N499" s="3"/>
      <c r="O499" s="3"/>
      <c r="P499" s="12"/>
      <c r="Q499" s="3"/>
      <c r="R499" s="3"/>
    </row>
    <row r="500" spans="1:18">
      <c r="A500" s="3"/>
      <c r="B500" s="3"/>
      <c r="C500" s="3"/>
      <c r="D500" s="3"/>
      <c r="E500" s="3"/>
      <c r="F500" s="3"/>
      <c r="G500" s="13" t="str">
        <f t="shared" si="21"/>
        <v/>
      </c>
      <c r="H500" s="13" t="str">
        <f t="shared" si="22"/>
        <v/>
      </c>
      <c r="I500" s="13" t="str">
        <f t="shared" si="23"/>
        <v/>
      </c>
      <c r="J500" s="3"/>
      <c r="K500" s="3"/>
      <c r="L500" s="3"/>
      <c r="M500" s="3"/>
      <c r="N500" s="3"/>
      <c r="O500" s="3"/>
      <c r="P500" s="12"/>
      <c r="Q500" s="3"/>
      <c r="R500" s="3"/>
    </row>
  </sheetData>
  <mergeCells count="1">
    <mergeCell ref="A1:R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0"/>
  <sheetViews>
    <sheetView workbookViewId="0"/>
  </sheetViews>
  <sheetFormatPr defaultRowHeight="14"/>
  <cols>
    <col min="1" max="1" width="16" customWidth="1"/>
    <col min="2" max="2" width="12" customWidth="1"/>
    <col min="3" max="3" width="18" customWidth="1"/>
    <col min="4" max="4" width="40" customWidth="1"/>
    <col min="5" max="5" width="38" customWidth="1"/>
    <col min="6" max="6" width="22" customWidth="1"/>
    <col min="7" max="7" width="26" customWidth="1"/>
    <col min="8" max="11" width="16" customWidth="1"/>
    <col min="12" max="12" width="26" customWidth="1"/>
    <col min="13" max="13" width="16" customWidth="1"/>
  </cols>
  <sheetData>
    <row r="1" spans="1:13" ht="19">
      <c r="A1" s="15" t="s">
        <v>918</v>
      </c>
      <c r="B1" s="15" t="s">
        <v>918</v>
      </c>
      <c r="C1" s="15" t="s">
        <v>918</v>
      </c>
      <c r="D1" s="15" t="s">
        <v>918</v>
      </c>
      <c r="E1" s="15" t="s">
        <v>918</v>
      </c>
      <c r="F1" s="15" t="s">
        <v>918</v>
      </c>
      <c r="G1" s="15" t="s">
        <v>918</v>
      </c>
      <c r="H1" s="15" t="s">
        <v>918</v>
      </c>
      <c r="I1" s="15" t="s">
        <v>918</v>
      </c>
      <c r="J1" s="15" t="s">
        <v>918</v>
      </c>
      <c r="K1" s="15" t="s">
        <v>918</v>
      </c>
      <c r="L1" s="15" t="s">
        <v>918</v>
      </c>
      <c r="M1" s="15" t="s">
        <v>918</v>
      </c>
    </row>
    <row r="2" spans="1:13">
      <c r="A2" s="11" t="s">
        <v>919</v>
      </c>
      <c r="B2" s="11" t="s">
        <v>864</v>
      </c>
      <c r="C2" s="11" t="s">
        <v>920</v>
      </c>
      <c r="D2" s="11" t="s">
        <v>921</v>
      </c>
      <c r="E2" s="11" t="s">
        <v>922</v>
      </c>
      <c r="F2" s="11" t="s">
        <v>923</v>
      </c>
      <c r="G2" s="11" t="s">
        <v>924</v>
      </c>
      <c r="H2" s="11" t="s">
        <v>925</v>
      </c>
      <c r="I2" s="11" t="s">
        <v>926</v>
      </c>
      <c r="J2" s="11" t="s">
        <v>927</v>
      </c>
      <c r="K2" s="11" t="s">
        <v>928</v>
      </c>
      <c r="L2" s="11" t="s">
        <v>873</v>
      </c>
      <c r="M2" s="11" t="s">
        <v>39</v>
      </c>
    </row>
    <row r="3" spans="1:13">
      <c r="A3" s="3"/>
      <c r="B3" s="3"/>
      <c r="C3" s="3"/>
      <c r="D3" s="3"/>
      <c r="E3" s="3"/>
      <c r="F3" s="3"/>
      <c r="G3" s="3"/>
      <c r="H3" s="12"/>
      <c r="I3" s="3"/>
      <c r="J3" s="3"/>
      <c r="K3" s="3"/>
      <c r="L3" s="3"/>
      <c r="M3" s="3"/>
    </row>
    <row r="4" spans="1:13">
      <c r="A4" s="3"/>
      <c r="B4" s="3"/>
      <c r="C4" s="3"/>
      <c r="D4" s="3"/>
      <c r="E4" s="3"/>
      <c r="F4" s="3"/>
      <c r="G4" s="3"/>
      <c r="H4" s="12"/>
      <c r="I4" s="3"/>
      <c r="J4" s="3"/>
      <c r="K4" s="3"/>
      <c r="L4" s="3"/>
      <c r="M4" s="3"/>
    </row>
    <row r="5" spans="1:13">
      <c r="A5" s="3"/>
      <c r="B5" s="3"/>
      <c r="C5" s="3"/>
      <c r="D5" s="3"/>
      <c r="E5" s="3"/>
      <c r="F5" s="3"/>
      <c r="G5" s="3"/>
      <c r="H5" s="12"/>
      <c r="I5" s="3"/>
      <c r="J5" s="3"/>
      <c r="K5" s="3"/>
      <c r="L5" s="3"/>
      <c r="M5" s="3"/>
    </row>
    <row r="6" spans="1:13">
      <c r="A6" s="3"/>
      <c r="B6" s="3"/>
      <c r="C6" s="3"/>
      <c r="D6" s="3"/>
      <c r="E6" s="3"/>
      <c r="F6" s="3"/>
      <c r="G6" s="3"/>
      <c r="H6" s="12"/>
      <c r="I6" s="3"/>
      <c r="J6" s="3"/>
      <c r="K6" s="3"/>
      <c r="L6" s="3"/>
      <c r="M6" s="3"/>
    </row>
    <row r="7" spans="1:13">
      <c r="A7" s="3"/>
      <c r="B7" s="3"/>
      <c r="C7" s="3"/>
      <c r="D7" s="3"/>
      <c r="E7" s="3"/>
      <c r="F7" s="3"/>
      <c r="G7" s="3"/>
      <c r="H7" s="12"/>
      <c r="I7" s="3"/>
      <c r="J7" s="3"/>
      <c r="K7" s="3"/>
      <c r="L7" s="3"/>
      <c r="M7" s="3"/>
    </row>
    <row r="8" spans="1:13">
      <c r="A8" s="3"/>
      <c r="B8" s="3"/>
      <c r="C8" s="3"/>
      <c r="D8" s="3"/>
      <c r="E8" s="3"/>
      <c r="F8" s="3"/>
      <c r="G8" s="3"/>
      <c r="H8" s="12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12"/>
      <c r="I9" s="3"/>
      <c r="J9" s="3"/>
      <c r="K9" s="3"/>
      <c r="L9" s="3"/>
      <c r="M9" s="3"/>
    </row>
    <row r="10" spans="1:13">
      <c r="A10" s="3"/>
      <c r="B10" s="3"/>
      <c r="C10" s="3"/>
      <c r="D10" s="3"/>
      <c r="E10" s="3"/>
      <c r="F10" s="3"/>
      <c r="G10" s="3"/>
      <c r="H10" s="12"/>
      <c r="I10" s="3"/>
      <c r="J10" s="3"/>
      <c r="K10" s="3"/>
      <c r="L10" s="3"/>
      <c r="M10" s="3"/>
    </row>
    <row r="11" spans="1:13">
      <c r="A11" s="3"/>
      <c r="B11" s="3"/>
      <c r="C11" s="3"/>
      <c r="D11" s="3"/>
      <c r="E11" s="3"/>
      <c r="F11" s="3"/>
      <c r="G11" s="3"/>
      <c r="H11" s="12"/>
      <c r="I11" s="3"/>
      <c r="J11" s="3"/>
      <c r="K11" s="3"/>
      <c r="L11" s="3"/>
      <c r="M11" s="3"/>
    </row>
    <row r="12" spans="1:13">
      <c r="A12" s="3"/>
      <c r="B12" s="3"/>
      <c r="C12" s="3"/>
      <c r="D12" s="3"/>
      <c r="E12" s="3"/>
      <c r="F12" s="3"/>
      <c r="G12" s="3"/>
      <c r="H12" s="12"/>
      <c r="I12" s="3"/>
      <c r="J12" s="3"/>
      <c r="K12" s="3"/>
      <c r="L12" s="3"/>
      <c r="M12" s="3"/>
    </row>
    <row r="13" spans="1:13">
      <c r="A13" s="3"/>
      <c r="B13" s="3"/>
      <c r="C13" s="3"/>
      <c r="D13" s="3"/>
      <c r="E13" s="3"/>
      <c r="F13" s="3"/>
      <c r="G13" s="3"/>
      <c r="H13" s="12"/>
      <c r="I13" s="3"/>
      <c r="J13" s="3"/>
      <c r="K13" s="3"/>
      <c r="L13" s="3"/>
      <c r="M13" s="3"/>
    </row>
    <row r="14" spans="1:13">
      <c r="A14" s="3"/>
      <c r="B14" s="3"/>
      <c r="C14" s="3"/>
      <c r="D14" s="3"/>
      <c r="E14" s="3"/>
      <c r="F14" s="3"/>
      <c r="G14" s="3"/>
      <c r="H14" s="12"/>
      <c r="I14" s="3"/>
      <c r="J14" s="3"/>
      <c r="K14" s="3"/>
      <c r="L14" s="3"/>
      <c r="M14" s="3"/>
    </row>
    <row r="15" spans="1:13">
      <c r="A15" s="3"/>
      <c r="B15" s="3"/>
      <c r="C15" s="3"/>
      <c r="D15" s="3"/>
      <c r="E15" s="3"/>
      <c r="F15" s="3"/>
      <c r="G15" s="3"/>
      <c r="H15" s="12"/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  <c r="G16" s="3"/>
      <c r="H16" s="12"/>
      <c r="I16" s="3"/>
      <c r="J16" s="3"/>
      <c r="K16" s="3"/>
      <c r="L16" s="3"/>
      <c r="M16" s="3"/>
    </row>
    <row r="17" spans="1:13">
      <c r="A17" s="3"/>
      <c r="B17" s="3"/>
      <c r="C17" s="3"/>
      <c r="D17" s="3"/>
      <c r="E17" s="3"/>
      <c r="F17" s="3"/>
      <c r="G17" s="3"/>
      <c r="H17" s="12"/>
      <c r="I17" s="3"/>
      <c r="J17" s="3"/>
      <c r="K17" s="3"/>
      <c r="L17" s="3"/>
      <c r="M17" s="3"/>
    </row>
    <row r="18" spans="1:13">
      <c r="A18" s="3"/>
      <c r="B18" s="3"/>
      <c r="C18" s="3"/>
      <c r="D18" s="3"/>
      <c r="E18" s="3"/>
      <c r="F18" s="3"/>
      <c r="G18" s="3"/>
      <c r="H18" s="12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12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12"/>
      <c r="I20" s="3"/>
      <c r="J20" s="3"/>
      <c r="K20" s="3"/>
      <c r="L20" s="3"/>
      <c r="M20" s="3"/>
    </row>
    <row r="21" spans="1:13">
      <c r="A21" s="3"/>
      <c r="B21" s="3"/>
      <c r="C21" s="3"/>
      <c r="D21" s="3"/>
      <c r="E21" s="3"/>
      <c r="F21" s="3"/>
      <c r="G21" s="3"/>
      <c r="H21" s="12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12"/>
      <c r="I22" s="3"/>
      <c r="J22" s="3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12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12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12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12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12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12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12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12"/>
      <c r="I30" s="3"/>
      <c r="J30" s="3"/>
      <c r="K30" s="3"/>
      <c r="L30" s="3"/>
      <c r="M30" s="3"/>
    </row>
    <row r="31" spans="1:13">
      <c r="A31" s="3"/>
      <c r="B31" s="3"/>
      <c r="C31" s="3"/>
      <c r="D31" s="3"/>
      <c r="E31" s="3"/>
      <c r="F31" s="3"/>
      <c r="G31" s="3"/>
      <c r="H31" s="12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12"/>
      <c r="I32" s="3"/>
      <c r="J32" s="3"/>
      <c r="K32" s="3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12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12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12"/>
      <c r="I35" s="3"/>
      <c r="J35" s="3"/>
      <c r="K35" s="3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12"/>
      <c r="I36" s="3"/>
      <c r="J36" s="3"/>
      <c r="K36" s="3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12"/>
      <c r="I37" s="3"/>
      <c r="J37" s="3"/>
      <c r="K37" s="3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12"/>
      <c r="I38" s="3"/>
      <c r="J38" s="3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12"/>
      <c r="I39" s="3"/>
      <c r="J39" s="3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12"/>
      <c r="I40" s="3"/>
      <c r="J40" s="3"/>
      <c r="K40" s="3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12"/>
      <c r="I41" s="3"/>
      <c r="J41" s="3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12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12"/>
      <c r="I43" s="3"/>
      <c r="J43" s="3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12"/>
      <c r="I44" s="3"/>
      <c r="J44" s="3"/>
      <c r="K44" s="3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12"/>
      <c r="I45" s="3"/>
      <c r="J45" s="3"/>
      <c r="K45" s="3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12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12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12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12"/>
      <c r="I49" s="3"/>
      <c r="J49" s="3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12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12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12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12"/>
      <c r="I53" s="3"/>
      <c r="J53" s="3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12"/>
      <c r="I54" s="3"/>
      <c r="J54" s="3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12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12"/>
      <c r="I56" s="3"/>
      <c r="J56" s="3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12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12"/>
      <c r="I58" s="3"/>
      <c r="J58" s="3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12"/>
      <c r="I59" s="3"/>
      <c r="J59" s="3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12"/>
      <c r="I60" s="3"/>
      <c r="J60" s="3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12"/>
      <c r="I61" s="3"/>
      <c r="J61" s="3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12"/>
      <c r="I62" s="3"/>
      <c r="J62" s="3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12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12"/>
      <c r="I64" s="3"/>
      <c r="J64" s="3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12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12"/>
      <c r="I66" s="3"/>
      <c r="J66" s="3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12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12"/>
      <c r="I68" s="3"/>
      <c r="J68" s="3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12"/>
      <c r="I69" s="3"/>
      <c r="J69" s="3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12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12"/>
      <c r="I71" s="3"/>
      <c r="J71" s="3"/>
      <c r="K71" s="3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12"/>
      <c r="I72" s="3"/>
      <c r="J72" s="3"/>
      <c r="K72" s="3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12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12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12"/>
      <c r="I75" s="3"/>
      <c r="J75" s="3"/>
      <c r="K75" s="3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12"/>
      <c r="I76" s="3"/>
      <c r="J76" s="3"/>
      <c r="K76" s="3"/>
      <c r="L76" s="3"/>
      <c r="M76" s="3"/>
    </row>
    <row r="77" spans="1:13">
      <c r="A77" s="3"/>
      <c r="B77" s="3"/>
      <c r="C77" s="3"/>
      <c r="D77" s="3"/>
      <c r="E77" s="3"/>
      <c r="F77" s="3"/>
      <c r="G77" s="3"/>
      <c r="H77" s="12"/>
      <c r="I77" s="3"/>
      <c r="J77" s="3"/>
      <c r="K77" s="3"/>
      <c r="L77" s="3"/>
      <c r="M77" s="3"/>
    </row>
    <row r="78" spans="1:13">
      <c r="A78" s="3"/>
      <c r="B78" s="3"/>
      <c r="C78" s="3"/>
      <c r="D78" s="3"/>
      <c r="E78" s="3"/>
      <c r="F78" s="3"/>
      <c r="G78" s="3"/>
      <c r="H78" s="12"/>
      <c r="I78" s="3"/>
      <c r="J78" s="3"/>
      <c r="K78" s="3"/>
      <c r="L78" s="3"/>
      <c r="M78" s="3"/>
    </row>
    <row r="79" spans="1:13">
      <c r="A79" s="3"/>
      <c r="B79" s="3"/>
      <c r="C79" s="3"/>
      <c r="D79" s="3"/>
      <c r="E79" s="3"/>
      <c r="F79" s="3"/>
      <c r="G79" s="3"/>
      <c r="H79" s="12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12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12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12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12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12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12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12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12"/>
      <c r="I87" s="3"/>
      <c r="J87" s="3"/>
      <c r="K87" s="3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12"/>
      <c r="I88" s="3"/>
      <c r="J88" s="3"/>
      <c r="K88" s="3"/>
      <c r="L88" s="3"/>
      <c r="M88" s="3"/>
    </row>
    <row r="89" spans="1:13">
      <c r="A89" s="3"/>
      <c r="B89" s="3"/>
      <c r="C89" s="3"/>
      <c r="D89" s="3"/>
      <c r="E89" s="3"/>
      <c r="F89" s="3"/>
      <c r="G89" s="3"/>
      <c r="H89" s="12"/>
      <c r="I89" s="3"/>
      <c r="J89" s="3"/>
      <c r="K89" s="3"/>
      <c r="L89" s="3"/>
      <c r="M89" s="3"/>
    </row>
    <row r="90" spans="1:13">
      <c r="A90" s="3"/>
      <c r="B90" s="3"/>
      <c r="C90" s="3"/>
      <c r="D90" s="3"/>
      <c r="E90" s="3"/>
      <c r="F90" s="3"/>
      <c r="G90" s="3"/>
      <c r="H90" s="12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12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12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12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12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12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12"/>
      <c r="I96" s="3"/>
      <c r="J96" s="3"/>
      <c r="K96" s="3"/>
      <c r="L96" s="3"/>
      <c r="M96" s="3"/>
    </row>
    <row r="97" spans="1:13">
      <c r="A97" s="3"/>
      <c r="B97" s="3"/>
      <c r="C97" s="3"/>
      <c r="D97" s="3"/>
      <c r="E97" s="3"/>
      <c r="F97" s="3"/>
      <c r="G97" s="3"/>
      <c r="H97" s="12"/>
      <c r="I97" s="3"/>
      <c r="J97" s="3"/>
      <c r="K97" s="3"/>
      <c r="L97" s="3"/>
      <c r="M97" s="3"/>
    </row>
    <row r="98" spans="1:13">
      <c r="A98" s="3"/>
      <c r="B98" s="3"/>
      <c r="C98" s="3"/>
      <c r="D98" s="3"/>
      <c r="E98" s="3"/>
      <c r="F98" s="3"/>
      <c r="G98" s="3"/>
      <c r="H98" s="12"/>
      <c r="I98" s="3"/>
      <c r="J98" s="3"/>
      <c r="K98" s="3"/>
      <c r="L98" s="3"/>
      <c r="M98" s="3"/>
    </row>
    <row r="99" spans="1:13">
      <c r="A99" s="3"/>
      <c r="B99" s="3"/>
      <c r="C99" s="3"/>
      <c r="D99" s="3"/>
      <c r="E99" s="3"/>
      <c r="F99" s="3"/>
      <c r="G99" s="3"/>
      <c r="H99" s="12"/>
      <c r="I99" s="3"/>
      <c r="J99" s="3"/>
      <c r="K99" s="3"/>
      <c r="L99" s="3"/>
      <c r="M99" s="3"/>
    </row>
    <row r="100" spans="1:13">
      <c r="A100" s="3"/>
      <c r="B100" s="3"/>
      <c r="C100" s="3"/>
      <c r="D100" s="3"/>
      <c r="E100" s="3"/>
      <c r="F100" s="3"/>
      <c r="G100" s="3"/>
      <c r="H100" s="12"/>
      <c r="I100" s="3"/>
      <c r="J100" s="3"/>
      <c r="K100" s="3"/>
      <c r="L100" s="3"/>
      <c r="M100" s="3"/>
    </row>
    <row r="101" spans="1:13">
      <c r="A101" s="3"/>
      <c r="B101" s="3"/>
      <c r="C101" s="3"/>
      <c r="D101" s="3"/>
      <c r="E101" s="3"/>
      <c r="F101" s="3"/>
      <c r="G101" s="3"/>
      <c r="H101" s="12"/>
      <c r="I101" s="3"/>
      <c r="J101" s="3"/>
      <c r="K101" s="3"/>
      <c r="L101" s="3"/>
      <c r="M101" s="3"/>
    </row>
    <row r="102" spans="1:13">
      <c r="A102" s="3"/>
      <c r="B102" s="3"/>
      <c r="C102" s="3"/>
      <c r="D102" s="3"/>
      <c r="E102" s="3"/>
      <c r="F102" s="3"/>
      <c r="G102" s="3"/>
      <c r="H102" s="12"/>
      <c r="I102" s="3"/>
      <c r="J102" s="3"/>
      <c r="K102" s="3"/>
      <c r="L102" s="3"/>
      <c r="M102" s="3"/>
    </row>
    <row r="103" spans="1:13">
      <c r="A103" s="3"/>
      <c r="B103" s="3"/>
      <c r="C103" s="3"/>
      <c r="D103" s="3"/>
      <c r="E103" s="3"/>
      <c r="F103" s="3"/>
      <c r="G103" s="3"/>
      <c r="H103" s="12"/>
      <c r="I103" s="3"/>
      <c r="J103" s="3"/>
      <c r="K103" s="3"/>
      <c r="L103" s="3"/>
      <c r="M103" s="3"/>
    </row>
    <row r="104" spans="1:13">
      <c r="A104" s="3"/>
      <c r="B104" s="3"/>
      <c r="C104" s="3"/>
      <c r="D104" s="3"/>
      <c r="E104" s="3"/>
      <c r="F104" s="3"/>
      <c r="G104" s="3"/>
      <c r="H104" s="12"/>
      <c r="I104" s="3"/>
      <c r="J104" s="3"/>
      <c r="K104" s="3"/>
      <c r="L104" s="3"/>
      <c r="M104" s="3"/>
    </row>
    <row r="105" spans="1:13">
      <c r="A105" s="3"/>
      <c r="B105" s="3"/>
      <c r="C105" s="3"/>
      <c r="D105" s="3"/>
      <c r="E105" s="3"/>
      <c r="F105" s="3"/>
      <c r="G105" s="3"/>
      <c r="H105" s="12"/>
      <c r="I105" s="3"/>
      <c r="J105" s="3"/>
      <c r="K105" s="3"/>
      <c r="L105" s="3"/>
      <c r="M105" s="3"/>
    </row>
    <row r="106" spans="1:13">
      <c r="A106" s="3"/>
      <c r="B106" s="3"/>
      <c r="C106" s="3"/>
      <c r="D106" s="3"/>
      <c r="E106" s="3"/>
      <c r="F106" s="3"/>
      <c r="G106" s="3"/>
      <c r="H106" s="12"/>
      <c r="I106" s="3"/>
      <c r="J106" s="3"/>
      <c r="K106" s="3"/>
      <c r="L106" s="3"/>
      <c r="M106" s="3"/>
    </row>
    <row r="107" spans="1:13">
      <c r="A107" s="3"/>
      <c r="B107" s="3"/>
      <c r="C107" s="3"/>
      <c r="D107" s="3"/>
      <c r="E107" s="3"/>
      <c r="F107" s="3"/>
      <c r="G107" s="3"/>
      <c r="H107" s="12"/>
      <c r="I107" s="3"/>
      <c r="J107" s="3"/>
      <c r="K107" s="3"/>
      <c r="L107" s="3"/>
      <c r="M107" s="3"/>
    </row>
    <row r="108" spans="1:13">
      <c r="A108" s="3"/>
      <c r="B108" s="3"/>
      <c r="C108" s="3"/>
      <c r="D108" s="3"/>
      <c r="E108" s="3"/>
      <c r="F108" s="3"/>
      <c r="G108" s="3"/>
      <c r="H108" s="12"/>
      <c r="I108" s="3"/>
      <c r="J108" s="3"/>
      <c r="K108" s="3"/>
      <c r="L108" s="3"/>
      <c r="M108" s="3"/>
    </row>
    <row r="109" spans="1:13">
      <c r="A109" s="3"/>
      <c r="B109" s="3"/>
      <c r="C109" s="3"/>
      <c r="D109" s="3"/>
      <c r="E109" s="3"/>
      <c r="F109" s="3"/>
      <c r="G109" s="3"/>
      <c r="H109" s="12"/>
      <c r="I109" s="3"/>
      <c r="J109" s="3"/>
      <c r="K109" s="3"/>
      <c r="L109" s="3"/>
      <c r="M109" s="3"/>
    </row>
    <row r="110" spans="1:13">
      <c r="A110" s="3"/>
      <c r="B110" s="3"/>
      <c r="C110" s="3"/>
      <c r="D110" s="3"/>
      <c r="E110" s="3"/>
      <c r="F110" s="3"/>
      <c r="G110" s="3"/>
      <c r="H110" s="12"/>
      <c r="I110" s="3"/>
      <c r="J110" s="3"/>
      <c r="K110" s="3"/>
      <c r="L110" s="3"/>
      <c r="M110" s="3"/>
    </row>
    <row r="111" spans="1:13">
      <c r="A111" s="3"/>
      <c r="B111" s="3"/>
      <c r="C111" s="3"/>
      <c r="D111" s="3"/>
      <c r="E111" s="3"/>
      <c r="F111" s="3"/>
      <c r="G111" s="3"/>
      <c r="H111" s="12"/>
      <c r="I111" s="3"/>
      <c r="J111" s="3"/>
      <c r="K111" s="3"/>
      <c r="L111" s="3"/>
      <c r="M111" s="3"/>
    </row>
    <row r="112" spans="1:13">
      <c r="A112" s="3"/>
      <c r="B112" s="3"/>
      <c r="C112" s="3"/>
      <c r="D112" s="3"/>
      <c r="E112" s="3"/>
      <c r="F112" s="3"/>
      <c r="G112" s="3"/>
      <c r="H112" s="12"/>
      <c r="I112" s="3"/>
      <c r="J112" s="3"/>
      <c r="K112" s="3"/>
      <c r="L112" s="3"/>
      <c r="M112" s="3"/>
    </row>
    <row r="113" spans="1:13">
      <c r="A113" s="3"/>
      <c r="B113" s="3"/>
      <c r="C113" s="3"/>
      <c r="D113" s="3"/>
      <c r="E113" s="3"/>
      <c r="F113" s="3"/>
      <c r="G113" s="3"/>
      <c r="H113" s="12"/>
      <c r="I113" s="3"/>
      <c r="J113" s="3"/>
      <c r="K113" s="3"/>
      <c r="L113" s="3"/>
      <c r="M113" s="3"/>
    </row>
    <row r="114" spans="1:13">
      <c r="A114" s="3"/>
      <c r="B114" s="3"/>
      <c r="C114" s="3"/>
      <c r="D114" s="3"/>
      <c r="E114" s="3"/>
      <c r="F114" s="3"/>
      <c r="G114" s="3"/>
      <c r="H114" s="12"/>
      <c r="I114" s="3"/>
      <c r="J114" s="3"/>
      <c r="K114" s="3"/>
      <c r="L114" s="3"/>
      <c r="M114" s="3"/>
    </row>
    <row r="115" spans="1:13">
      <c r="A115" s="3"/>
      <c r="B115" s="3"/>
      <c r="C115" s="3"/>
      <c r="D115" s="3"/>
      <c r="E115" s="3"/>
      <c r="F115" s="3"/>
      <c r="G115" s="3"/>
      <c r="H115" s="12"/>
      <c r="I115" s="3"/>
      <c r="J115" s="3"/>
      <c r="K115" s="3"/>
      <c r="L115" s="3"/>
      <c r="M115" s="3"/>
    </row>
    <row r="116" spans="1:13">
      <c r="A116" s="3"/>
      <c r="B116" s="3"/>
      <c r="C116" s="3"/>
      <c r="D116" s="3"/>
      <c r="E116" s="3"/>
      <c r="F116" s="3"/>
      <c r="G116" s="3"/>
      <c r="H116" s="12"/>
      <c r="I116" s="3"/>
      <c r="J116" s="3"/>
      <c r="K116" s="3"/>
      <c r="L116" s="3"/>
      <c r="M116" s="3"/>
    </row>
    <row r="117" spans="1:13">
      <c r="A117" s="3"/>
      <c r="B117" s="3"/>
      <c r="C117" s="3"/>
      <c r="D117" s="3"/>
      <c r="E117" s="3"/>
      <c r="F117" s="3"/>
      <c r="G117" s="3"/>
      <c r="H117" s="12"/>
      <c r="I117" s="3"/>
      <c r="J117" s="3"/>
      <c r="K117" s="3"/>
      <c r="L117" s="3"/>
      <c r="M117" s="3"/>
    </row>
    <row r="118" spans="1:13">
      <c r="A118" s="3"/>
      <c r="B118" s="3"/>
      <c r="C118" s="3"/>
      <c r="D118" s="3"/>
      <c r="E118" s="3"/>
      <c r="F118" s="3"/>
      <c r="G118" s="3"/>
      <c r="H118" s="12"/>
      <c r="I118" s="3"/>
      <c r="J118" s="3"/>
      <c r="K118" s="3"/>
      <c r="L118" s="3"/>
      <c r="M118" s="3"/>
    </row>
    <row r="119" spans="1:13">
      <c r="A119" s="3"/>
      <c r="B119" s="3"/>
      <c r="C119" s="3"/>
      <c r="D119" s="3"/>
      <c r="E119" s="3"/>
      <c r="F119" s="3"/>
      <c r="G119" s="3"/>
      <c r="H119" s="12"/>
      <c r="I119" s="3"/>
      <c r="J119" s="3"/>
      <c r="K119" s="3"/>
      <c r="L119" s="3"/>
      <c r="M119" s="3"/>
    </row>
    <row r="120" spans="1:13">
      <c r="A120" s="3"/>
      <c r="B120" s="3"/>
      <c r="C120" s="3"/>
      <c r="D120" s="3"/>
      <c r="E120" s="3"/>
      <c r="F120" s="3"/>
      <c r="G120" s="3"/>
      <c r="H120" s="12"/>
      <c r="I120" s="3"/>
      <c r="J120" s="3"/>
      <c r="K120" s="3"/>
      <c r="L120" s="3"/>
      <c r="M120" s="3"/>
    </row>
    <row r="121" spans="1:13">
      <c r="A121" s="3"/>
      <c r="B121" s="3"/>
      <c r="C121" s="3"/>
      <c r="D121" s="3"/>
      <c r="E121" s="3"/>
      <c r="F121" s="3"/>
      <c r="G121" s="3"/>
      <c r="H121" s="12"/>
      <c r="I121" s="3"/>
      <c r="J121" s="3"/>
      <c r="K121" s="3"/>
      <c r="L121" s="3"/>
      <c r="M121" s="3"/>
    </row>
    <row r="122" spans="1:13">
      <c r="A122" s="3"/>
      <c r="B122" s="3"/>
      <c r="C122" s="3"/>
      <c r="D122" s="3"/>
      <c r="E122" s="3"/>
      <c r="F122" s="3"/>
      <c r="G122" s="3"/>
      <c r="H122" s="12"/>
      <c r="I122" s="3"/>
      <c r="J122" s="3"/>
      <c r="K122" s="3"/>
      <c r="L122" s="3"/>
      <c r="M122" s="3"/>
    </row>
    <row r="123" spans="1:13">
      <c r="A123" s="3"/>
      <c r="B123" s="3"/>
      <c r="C123" s="3"/>
      <c r="D123" s="3"/>
      <c r="E123" s="3"/>
      <c r="F123" s="3"/>
      <c r="G123" s="3"/>
      <c r="H123" s="12"/>
      <c r="I123" s="3"/>
      <c r="J123" s="3"/>
      <c r="K123" s="3"/>
      <c r="L123" s="3"/>
      <c r="M123" s="3"/>
    </row>
    <row r="124" spans="1:13">
      <c r="A124" s="3"/>
      <c r="B124" s="3"/>
      <c r="C124" s="3"/>
      <c r="D124" s="3"/>
      <c r="E124" s="3"/>
      <c r="F124" s="3"/>
      <c r="G124" s="3"/>
      <c r="H124" s="12"/>
      <c r="I124" s="3"/>
      <c r="J124" s="3"/>
      <c r="K124" s="3"/>
      <c r="L124" s="3"/>
      <c r="M124" s="3"/>
    </row>
    <row r="125" spans="1:13">
      <c r="A125" s="3"/>
      <c r="B125" s="3"/>
      <c r="C125" s="3"/>
      <c r="D125" s="3"/>
      <c r="E125" s="3"/>
      <c r="F125" s="3"/>
      <c r="G125" s="3"/>
      <c r="H125" s="12"/>
      <c r="I125" s="3"/>
      <c r="J125" s="3"/>
      <c r="K125" s="3"/>
      <c r="L125" s="3"/>
      <c r="M125" s="3"/>
    </row>
    <row r="126" spans="1:13">
      <c r="A126" s="3"/>
      <c r="B126" s="3"/>
      <c r="C126" s="3"/>
      <c r="D126" s="3"/>
      <c r="E126" s="3"/>
      <c r="F126" s="3"/>
      <c r="G126" s="3"/>
      <c r="H126" s="12"/>
      <c r="I126" s="3"/>
      <c r="J126" s="3"/>
      <c r="K126" s="3"/>
      <c r="L126" s="3"/>
      <c r="M126" s="3"/>
    </row>
    <row r="127" spans="1:13">
      <c r="A127" s="3"/>
      <c r="B127" s="3"/>
      <c r="C127" s="3"/>
      <c r="D127" s="3"/>
      <c r="E127" s="3"/>
      <c r="F127" s="3"/>
      <c r="G127" s="3"/>
      <c r="H127" s="12"/>
      <c r="I127" s="3"/>
      <c r="J127" s="3"/>
      <c r="K127" s="3"/>
      <c r="L127" s="3"/>
      <c r="M127" s="3"/>
    </row>
    <row r="128" spans="1:13">
      <c r="A128" s="3"/>
      <c r="B128" s="3"/>
      <c r="C128" s="3"/>
      <c r="D128" s="3"/>
      <c r="E128" s="3"/>
      <c r="F128" s="3"/>
      <c r="G128" s="3"/>
      <c r="H128" s="12"/>
      <c r="I128" s="3"/>
      <c r="J128" s="3"/>
      <c r="K128" s="3"/>
      <c r="L128" s="3"/>
      <c r="M128" s="3"/>
    </row>
    <row r="129" spans="1:13">
      <c r="A129" s="3"/>
      <c r="B129" s="3"/>
      <c r="C129" s="3"/>
      <c r="D129" s="3"/>
      <c r="E129" s="3"/>
      <c r="F129" s="3"/>
      <c r="G129" s="3"/>
      <c r="H129" s="12"/>
      <c r="I129" s="3"/>
      <c r="J129" s="3"/>
      <c r="K129" s="3"/>
      <c r="L129" s="3"/>
      <c r="M129" s="3"/>
    </row>
    <row r="130" spans="1:13">
      <c r="A130" s="3"/>
      <c r="B130" s="3"/>
      <c r="C130" s="3"/>
      <c r="D130" s="3"/>
      <c r="E130" s="3"/>
      <c r="F130" s="3"/>
      <c r="G130" s="3"/>
      <c r="H130" s="12"/>
      <c r="I130" s="3"/>
      <c r="J130" s="3"/>
      <c r="K130" s="3"/>
      <c r="L130" s="3"/>
      <c r="M130" s="3"/>
    </row>
    <row r="131" spans="1:13">
      <c r="A131" s="3"/>
      <c r="B131" s="3"/>
      <c r="C131" s="3"/>
      <c r="D131" s="3"/>
      <c r="E131" s="3"/>
      <c r="F131" s="3"/>
      <c r="G131" s="3"/>
      <c r="H131" s="12"/>
      <c r="I131" s="3"/>
      <c r="J131" s="3"/>
      <c r="K131" s="3"/>
      <c r="L131" s="3"/>
      <c r="M131" s="3"/>
    </row>
    <row r="132" spans="1:13">
      <c r="A132" s="3"/>
      <c r="B132" s="3"/>
      <c r="C132" s="3"/>
      <c r="D132" s="3"/>
      <c r="E132" s="3"/>
      <c r="F132" s="3"/>
      <c r="G132" s="3"/>
      <c r="H132" s="12"/>
      <c r="I132" s="3"/>
      <c r="J132" s="3"/>
      <c r="K132" s="3"/>
      <c r="L132" s="3"/>
      <c r="M132" s="3"/>
    </row>
    <row r="133" spans="1:13">
      <c r="A133" s="3"/>
      <c r="B133" s="3"/>
      <c r="C133" s="3"/>
      <c r="D133" s="3"/>
      <c r="E133" s="3"/>
      <c r="F133" s="3"/>
      <c r="G133" s="3"/>
      <c r="H133" s="12"/>
      <c r="I133" s="3"/>
      <c r="J133" s="3"/>
      <c r="K133" s="3"/>
      <c r="L133" s="3"/>
      <c r="M133" s="3"/>
    </row>
    <row r="134" spans="1:13">
      <c r="A134" s="3"/>
      <c r="B134" s="3"/>
      <c r="C134" s="3"/>
      <c r="D134" s="3"/>
      <c r="E134" s="3"/>
      <c r="F134" s="3"/>
      <c r="G134" s="3"/>
      <c r="H134" s="12"/>
      <c r="I134" s="3"/>
      <c r="J134" s="3"/>
      <c r="K134" s="3"/>
      <c r="L134" s="3"/>
      <c r="M134" s="3"/>
    </row>
    <row r="135" spans="1:13">
      <c r="A135" s="3"/>
      <c r="B135" s="3"/>
      <c r="C135" s="3"/>
      <c r="D135" s="3"/>
      <c r="E135" s="3"/>
      <c r="F135" s="3"/>
      <c r="G135" s="3"/>
      <c r="H135" s="12"/>
      <c r="I135" s="3"/>
      <c r="J135" s="3"/>
      <c r="K135" s="3"/>
      <c r="L135" s="3"/>
      <c r="M135" s="3"/>
    </row>
    <row r="136" spans="1:13">
      <c r="A136" s="3"/>
      <c r="B136" s="3"/>
      <c r="C136" s="3"/>
      <c r="D136" s="3"/>
      <c r="E136" s="3"/>
      <c r="F136" s="3"/>
      <c r="G136" s="3"/>
      <c r="H136" s="12"/>
      <c r="I136" s="3"/>
      <c r="J136" s="3"/>
      <c r="K136" s="3"/>
      <c r="L136" s="3"/>
      <c r="M136" s="3"/>
    </row>
    <row r="137" spans="1:13">
      <c r="A137" s="3"/>
      <c r="B137" s="3"/>
      <c r="C137" s="3"/>
      <c r="D137" s="3"/>
      <c r="E137" s="3"/>
      <c r="F137" s="3"/>
      <c r="G137" s="3"/>
      <c r="H137" s="12"/>
      <c r="I137" s="3"/>
      <c r="J137" s="3"/>
      <c r="K137" s="3"/>
      <c r="L137" s="3"/>
      <c r="M137" s="3"/>
    </row>
    <row r="138" spans="1:13">
      <c r="A138" s="3"/>
      <c r="B138" s="3"/>
      <c r="C138" s="3"/>
      <c r="D138" s="3"/>
      <c r="E138" s="3"/>
      <c r="F138" s="3"/>
      <c r="G138" s="3"/>
      <c r="H138" s="12"/>
      <c r="I138" s="3"/>
      <c r="J138" s="3"/>
      <c r="K138" s="3"/>
      <c r="L138" s="3"/>
      <c r="M138" s="3"/>
    </row>
    <row r="139" spans="1:13">
      <c r="A139" s="3"/>
      <c r="B139" s="3"/>
      <c r="C139" s="3"/>
      <c r="D139" s="3"/>
      <c r="E139" s="3"/>
      <c r="F139" s="3"/>
      <c r="G139" s="3"/>
      <c r="H139" s="12"/>
      <c r="I139" s="3"/>
      <c r="J139" s="3"/>
      <c r="K139" s="3"/>
      <c r="L139" s="3"/>
      <c r="M139" s="3"/>
    </row>
    <row r="140" spans="1:13">
      <c r="A140" s="3"/>
      <c r="B140" s="3"/>
      <c r="C140" s="3"/>
      <c r="D140" s="3"/>
      <c r="E140" s="3"/>
      <c r="F140" s="3"/>
      <c r="G140" s="3"/>
      <c r="H140" s="12"/>
      <c r="I140" s="3"/>
      <c r="J140" s="3"/>
      <c r="K140" s="3"/>
      <c r="L140" s="3"/>
      <c r="M140" s="3"/>
    </row>
    <row r="141" spans="1:13">
      <c r="A141" s="3"/>
      <c r="B141" s="3"/>
      <c r="C141" s="3"/>
      <c r="D141" s="3"/>
      <c r="E141" s="3"/>
      <c r="F141" s="3"/>
      <c r="G141" s="3"/>
      <c r="H141" s="12"/>
      <c r="I141" s="3"/>
      <c r="J141" s="3"/>
      <c r="K141" s="3"/>
      <c r="L141" s="3"/>
      <c r="M141" s="3"/>
    </row>
    <row r="142" spans="1:13">
      <c r="A142" s="3"/>
      <c r="B142" s="3"/>
      <c r="C142" s="3"/>
      <c r="D142" s="3"/>
      <c r="E142" s="3"/>
      <c r="F142" s="3"/>
      <c r="G142" s="3"/>
      <c r="H142" s="12"/>
      <c r="I142" s="3"/>
      <c r="J142" s="3"/>
      <c r="K142" s="3"/>
      <c r="L142" s="3"/>
      <c r="M142" s="3"/>
    </row>
    <row r="143" spans="1:13">
      <c r="A143" s="3"/>
      <c r="B143" s="3"/>
      <c r="C143" s="3"/>
      <c r="D143" s="3"/>
      <c r="E143" s="3"/>
      <c r="F143" s="3"/>
      <c r="G143" s="3"/>
      <c r="H143" s="12"/>
      <c r="I143" s="3"/>
      <c r="J143" s="3"/>
      <c r="K143" s="3"/>
      <c r="L143" s="3"/>
      <c r="M143" s="3"/>
    </row>
    <row r="144" spans="1:13">
      <c r="A144" s="3"/>
      <c r="B144" s="3"/>
      <c r="C144" s="3"/>
      <c r="D144" s="3"/>
      <c r="E144" s="3"/>
      <c r="F144" s="3"/>
      <c r="G144" s="3"/>
      <c r="H144" s="12"/>
      <c r="I144" s="3"/>
      <c r="J144" s="3"/>
      <c r="K144" s="3"/>
      <c r="L144" s="3"/>
      <c r="M144" s="3"/>
    </row>
    <row r="145" spans="1:13">
      <c r="A145" s="3"/>
      <c r="B145" s="3"/>
      <c r="C145" s="3"/>
      <c r="D145" s="3"/>
      <c r="E145" s="3"/>
      <c r="F145" s="3"/>
      <c r="G145" s="3"/>
      <c r="H145" s="12"/>
      <c r="I145" s="3"/>
      <c r="J145" s="3"/>
      <c r="K145" s="3"/>
      <c r="L145" s="3"/>
      <c r="M145" s="3"/>
    </row>
    <row r="146" spans="1:13">
      <c r="A146" s="3"/>
      <c r="B146" s="3"/>
      <c r="C146" s="3"/>
      <c r="D146" s="3"/>
      <c r="E146" s="3"/>
      <c r="F146" s="3"/>
      <c r="G146" s="3"/>
      <c r="H146" s="12"/>
      <c r="I146" s="3"/>
      <c r="J146" s="3"/>
      <c r="K146" s="3"/>
      <c r="L146" s="3"/>
      <c r="M146" s="3"/>
    </row>
    <row r="147" spans="1:13">
      <c r="A147" s="3"/>
      <c r="B147" s="3"/>
      <c r="C147" s="3"/>
      <c r="D147" s="3"/>
      <c r="E147" s="3"/>
      <c r="F147" s="3"/>
      <c r="G147" s="3"/>
      <c r="H147" s="12"/>
      <c r="I147" s="3"/>
      <c r="J147" s="3"/>
      <c r="K147" s="3"/>
      <c r="L147" s="3"/>
      <c r="M147" s="3"/>
    </row>
    <row r="148" spans="1:13">
      <c r="A148" s="3"/>
      <c r="B148" s="3"/>
      <c r="C148" s="3"/>
      <c r="D148" s="3"/>
      <c r="E148" s="3"/>
      <c r="F148" s="3"/>
      <c r="G148" s="3"/>
      <c r="H148" s="12"/>
      <c r="I148" s="3"/>
      <c r="J148" s="3"/>
      <c r="K148" s="3"/>
      <c r="L148" s="3"/>
      <c r="M148" s="3"/>
    </row>
    <row r="149" spans="1:13">
      <c r="A149" s="3"/>
      <c r="B149" s="3"/>
      <c r="C149" s="3"/>
      <c r="D149" s="3"/>
      <c r="E149" s="3"/>
      <c r="F149" s="3"/>
      <c r="G149" s="3"/>
      <c r="H149" s="12"/>
      <c r="I149" s="3"/>
      <c r="J149" s="3"/>
      <c r="K149" s="3"/>
      <c r="L149" s="3"/>
      <c r="M149" s="3"/>
    </row>
    <row r="150" spans="1:13">
      <c r="A150" s="3"/>
      <c r="B150" s="3"/>
      <c r="C150" s="3"/>
      <c r="D150" s="3"/>
      <c r="E150" s="3"/>
      <c r="F150" s="3"/>
      <c r="G150" s="3"/>
      <c r="H150" s="12"/>
      <c r="I150" s="3"/>
      <c r="J150" s="3"/>
      <c r="K150" s="3"/>
      <c r="L150" s="3"/>
      <c r="M150" s="3"/>
    </row>
    <row r="151" spans="1:13">
      <c r="A151" s="3"/>
      <c r="B151" s="3"/>
      <c r="C151" s="3"/>
      <c r="D151" s="3"/>
      <c r="E151" s="3"/>
      <c r="F151" s="3"/>
      <c r="G151" s="3"/>
      <c r="H151" s="12"/>
      <c r="I151" s="3"/>
      <c r="J151" s="3"/>
      <c r="K151" s="3"/>
      <c r="L151" s="3"/>
      <c r="M151" s="3"/>
    </row>
    <row r="152" spans="1:13">
      <c r="A152" s="3"/>
      <c r="B152" s="3"/>
      <c r="C152" s="3"/>
      <c r="D152" s="3"/>
      <c r="E152" s="3"/>
      <c r="F152" s="3"/>
      <c r="G152" s="3"/>
      <c r="H152" s="12"/>
      <c r="I152" s="3"/>
      <c r="J152" s="3"/>
      <c r="K152" s="3"/>
      <c r="L152" s="3"/>
      <c r="M152" s="3"/>
    </row>
    <row r="153" spans="1:13">
      <c r="A153" s="3"/>
      <c r="B153" s="3"/>
      <c r="C153" s="3"/>
      <c r="D153" s="3"/>
      <c r="E153" s="3"/>
      <c r="F153" s="3"/>
      <c r="G153" s="3"/>
      <c r="H153" s="12"/>
      <c r="I153" s="3"/>
      <c r="J153" s="3"/>
      <c r="K153" s="3"/>
      <c r="L153" s="3"/>
      <c r="M153" s="3"/>
    </row>
    <row r="154" spans="1:13">
      <c r="A154" s="3"/>
      <c r="B154" s="3"/>
      <c r="C154" s="3"/>
      <c r="D154" s="3"/>
      <c r="E154" s="3"/>
      <c r="F154" s="3"/>
      <c r="G154" s="3"/>
      <c r="H154" s="12"/>
      <c r="I154" s="3"/>
      <c r="J154" s="3"/>
      <c r="K154" s="3"/>
      <c r="L154" s="3"/>
      <c r="M154" s="3"/>
    </row>
    <row r="155" spans="1:13">
      <c r="A155" s="3"/>
      <c r="B155" s="3"/>
      <c r="C155" s="3"/>
      <c r="D155" s="3"/>
      <c r="E155" s="3"/>
      <c r="F155" s="3"/>
      <c r="G155" s="3"/>
      <c r="H155" s="12"/>
      <c r="I155" s="3"/>
      <c r="J155" s="3"/>
      <c r="K155" s="3"/>
      <c r="L155" s="3"/>
      <c r="M155" s="3"/>
    </row>
    <row r="156" spans="1:13">
      <c r="A156" s="3"/>
      <c r="B156" s="3"/>
      <c r="C156" s="3"/>
      <c r="D156" s="3"/>
      <c r="E156" s="3"/>
      <c r="F156" s="3"/>
      <c r="G156" s="3"/>
      <c r="H156" s="12"/>
      <c r="I156" s="3"/>
      <c r="J156" s="3"/>
      <c r="K156" s="3"/>
      <c r="L156" s="3"/>
      <c r="M156" s="3"/>
    </row>
    <row r="157" spans="1:13">
      <c r="A157" s="3"/>
      <c r="B157" s="3"/>
      <c r="C157" s="3"/>
      <c r="D157" s="3"/>
      <c r="E157" s="3"/>
      <c r="F157" s="3"/>
      <c r="G157" s="3"/>
      <c r="H157" s="12"/>
      <c r="I157" s="3"/>
      <c r="J157" s="3"/>
      <c r="K157" s="3"/>
      <c r="L157" s="3"/>
      <c r="M157" s="3"/>
    </row>
    <row r="158" spans="1:13">
      <c r="A158" s="3"/>
      <c r="B158" s="3"/>
      <c r="C158" s="3"/>
      <c r="D158" s="3"/>
      <c r="E158" s="3"/>
      <c r="F158" s="3"/>
      <c r="G158" s="3"/>
      <c r="H158" s="12"/>
      <c r="I158" s="3"/>
      <c r="J158" s="3"/>
      <c r="K158" s="3"/>
      <c r="L158" s="3"/>
      <c r="M158" s="3"/>
    </row>
    <row r="159" spans="1:13">
      <c r="A159" s="3"/>
      <c r="B159" s="3"/>
      <c r="C159" s="3"/>
      <c r="D159" s="3"/>
      <c r="E159" s="3"/>
      <c r="F159" s="3"/>
      <c r="G159" s="3"/>
      <c r="H159" s="12"/>
      <c r="I159" s="3"/>
      <c r="J159" s="3"/>
      <c r="K159" s="3"/>
      <c r="L159" s="3"/>
      <c r="M159" s="3"/>
    </row>
    <row r="160" spans="1:13">
      <c r="A160" s="3"/>
      <c r="B160" s="3"/>
      <c r="C160" s="3"/>
      <c r="D160" s="3"/>
      <c r="E160" s="3"/>
      <c r="F160" s="3"/>
      <c r="G160" s="3"/>
      <c r="H160" s="12"/>
      <c r="I160" s="3"/>
      <c r="J160" s="3"/>
      <c r="K160" s="3"/>
      <c r="L160" s="3"/>
      <c r="M160" s="3"/>
    </row>
    <row r="161" spans="1:13">
      <c r="A161" s="3"/>
      <c r="B161" s="3"/>
      <c r="C161" s="3"/>
      <c r="D161" s="3"/>
      <c r="E161" s="3"/>
      <c r="F161" s="3"/>
      <c r="G161" s="3"/>
      <c r="H161" s="12"/>
      <c r="I161" s="3"/>
      <c r="J161" s="3"/>
      <c r="K161" s="3"/>
      <c r="L161" s="3"/>
      <c r="M161" s="3"/>
    </row>
    <row r="162" spans="1:13">
      <c r="A162" s="3"/>
      <c r="B162" s="3"/>
      <c r="C162" s="3"/>
      <c r="D162" s="3"/>
      <c r="E162" s="3"/>
      <c r="F162" s="3"/>
      <c r="G162" s="3"/>
      <c r="H162" s="12"/>
      <c r="I162" s="3"/>
      <c r="J162" s="3"/>
      <c r="K162" s="3"/>
      <c r="L162" s="3"/>
      <c r="M162" s="3"/>
    </row>
    <row r="163" spans="1:13">
      <c r="A163" s="3"/>
      <c r="B163" s="3"/>
      <c r="C163" s="3"/>
      <c r="D163" s="3"/>
      <c r="E163" s="3"/>
      <c r="F163" s="3"/>
      <c r="G163" s="3"/>
      <c r="H163" s="12"/>
      <c r="I163" s="3"/>
      <c r="J163" s="3"/>
      <c r="K163" s="3"/>
      <c r="L163" s="3"/>
      <c r="M163" s="3"/>
    </row>
    <row r="164" spans="1:13">
      <c r="A164" s="3"/>
      <c r="B164" s="3"/>
      <c r="C164" s="3"/>
      <c r="D164" s="3"/>
      <c r="E164" s="3"/>
      <c r="F164" s="3"/>
      <c r="G164" s="3"/>
      <c r="H164" s="12"/>
      <c r="I164" s="3"/>
      <c r="J164" s="3"/>
      <c r="K164" s="3"/>
      <c r="L164" s="3"/>
      <c r="M164" s="3"/>
    </row>
    <row r="165" spans="1:13">
      <c r="A165" s="3"/>
      <c r="B165" s="3"/>
      <c r="C165" s="3"/>
      <c r="D165" s="3"/>
      <c r="E165" s="3"/>
      <c r="F165" s="3"/>
      <c r="G165" s="3"/>
      <c r="H165" s="12"/>
      <c r="I165" s="3"/>
      <c r="J165" s="3"/>
      <c r="K165" s="3"/>
      <c r="L165" s="3"/>
      <c r="M165" s="3"/>
    </row>
    <row r="166" spans="1:13">
      <c r="A166" s="3"/>
      <c r="B166" s="3"/>
      <c r="C166" s="3"/>
      <c r="D166" s="3"/>
      <c r="E166" s="3"/>
      <c r="F166" s="3"/>
      <c r="G166" s="3"/>
      <c r="H166" s="12"/>
      <c r="I166" s="3"/>
      <c r="J166" s="3"/>
      <c r="K166" s="3"/>
      <c r="L166" s="3"/>
      <c r="M166" s="3"/>
    </row>
    <row r="167" spans="1:13">
      <c r="A167" s="3"/>
      <c r="B167" s="3"/>
      <c r="C167" s="3"/>
      <c r="D167" s="3"/>
      <c r="E167" s="3"/>
      <c r="F167" s="3"/>
      <c r="G167" s="3"/>
      <c r="H167" s="12"/>
      <c r="I167" s="3"/>
      <c r="J167" s="3"/>
      <c r="K167" s="3"/>
      <c r="L167" s="3"/>
      <c r="M167" s="3"/>
    </row>
    <row r="168" spans="1:13">
      <c r="A168" s="3"/>
      <c r="B168" s="3"/>
      <c r="C168" s="3"/>
      <c r="D168" s="3"/>
      <c r="E168" s="3"/>
      <c r="F168" s="3"/>
      <c r="G168" s="3"/>
      <c r="H168" s="12"/>
      <c r="I168" s="3"/>
      <c r="J168" s="3"/>
      <c r="K168" s="3"/>
      <c r="L168" s="3"/>
      <c r="M168" s="3"/>
    </row>
    <row r="169" spans="1:13">
      <c r="A169" s="3"/>
      <c r="B169" s="3"/>
      <c r="C169" s="3"/>
      <c r="D169" s="3"/>
      <c r="E169" s="3"/>
      <c r="F169" s="3"/>
      <c r="G169" s="3"/>
      <c r="H169" s="12"/>
      <c r="I169" s="3"/>
      <c r="J169" s="3"/>
      <c r="K169" s="3"/>
      <c r="L169" s="3"/>
      <c r="M169" s="3"/>
    </row>
    <row r="170" spans="1:13">
      <c r="A170" s="3"/>
      <c r="B170" s="3"/>
      <c r="C170" s="3"/>
      <c r="D170" s="3"/>
      <c r="E170" s="3"/>
      <c r="F170" s="3"/>
      <c r="G170" s="3"/>
      <c r="H170" s="12"/>
      <c r="I170" s="3"/>
      <c r="J170" s="3"/>
      <c r="K170" s="3"/>
      <c r="L170" s="3"/>
      <c r="M170" s="3"/>
    </row>
    <row r="171" spans="1:13">
      <c r="A171" s="3"/>
      <c r="B171" s="3"/>
      <c r="C171" s="3"/>
      <c r="D171" s="3"/>
      <c r="E171" s="3"/>
      <c r="F171" s="3"/>
      <c r="G171" s="3"/>
      <c r="H171" s="12"/>
      <c r="I171" s="3"/>
      <c r="J171" s="3"/>
      <c r="K171" s="3"/>
      <c r="L171" s="3"/>
      <c r="M171" s="3"/>
    </row>
    <row r="172" spans="1:13">
      <c r="A172" s="3"/>
      <c r="B172" s="3"/>
      <c r="C172" s="3"/>
      <c r="D172" s="3"/>
      <c r="E172" s="3"/>
      <c r="F172" s="3"/>
      <c r="G172" s="3"/>
      <c r="H172" s="12"/>
      <c r="I172" s="3"/>
      <c r="J172" s="3"/>
      <c r="K172" s="3"/>
      <c r="L172" s="3"/>
      <c r="M172" s="3"/>
    </row>
    <row r="173" spans="1:13">
      <c r="A173" s="3"/>
      <c r="B173" s="3"/>
      <c r="C173" s="3"/>
      <c r="D173" s="3"/>
      <c r="E173" s="3"/>
      <c r="F173" s="3"/>
      <c r="G173" s="3"/>
      <c r="H173" s="12"/>
      <c r="I173" s="3"/>
      <c r="J173" s="3"/>
      <c r="K173" s="3"/>
      <c r="L173" s="3"/>
      <c r="M173" s="3"/>
    </row>
    <row r="174" spans="1:13">
      <c r="A174" s="3"/>
      <c r="B174" s="3"/>
      <c r="C174" s="3"/>
      <c r="D174" s="3"/>
      <c r="E174" s="3"/>
      <c r="F174" s="3"/>
      <c r="G174" s="3"/>
      <c r="H174" s="12"/>
      <c r="I174" s="3"/>
      <c r="J174" s="3"/>
      <c r="K174" s="3"/>
      <c r="L174" s="3"/>
      <c r="M174" s="3"/>
    </row>
    <row r="175" spans="1:13">
      <c r="A175" s="3"/>
      <c r="B175" s="3"/>
      <c r="C175" s="3"/>
      <c r="D175" s="3"/>
      <c r="E175" s="3"/>
      <c r="F175" s="3"/>
      <c r="G175" s="3"/>
      <c r="H175" s="12"/>
      <c r="I175" s="3"/>
      <c r="J175" s="3"/>
      <c r="K175" s="3"/>
      <c r="L175" s="3"/>
      <c r="M175" s="3"/>
    </row>
    <row r="176" spans="1:13">
      <c r="A176" s="3"/>
      <c r="B176" s="3"/>
      <c r="C176" s="3"/>
      <c r="D176" s="3"/>
      <c r="E176" s="3"/>
      <c r="F176" s="3"/>
      <c r="G176" s="3"/>
      <c r="H176" s="12"/>
      <c r="I176" s="3"/>
      <c r="J176" s="3"/>
      <c r="K176" s="3"/>
      <c r="L176" s="3"/>
      <c r="M176" s="3"/>
    </row>
    <row r="177" spans="1:13">
      <c r="A177" s="3"/>
      <c r="B177" s="3"/>
      <c r="C177" s="3"/>
      <c r="D177" s="3"/>
      <c r="E177" s="3"/>
      <c r="F177" s="3"/>
      <c r="G177" s="3"/>
      <c r="H177" s="12"/>
      <c r="I177" s="3"/>
      <c r="J177" s="3"/>
      <c r="K177" s="3"/>
      <c r="L177" s="3"/>
      <c r="M177" s="3"/>
    </row>
    <row r="178" spans="1:13">
      <c r="A178" s="3"/>
      <c r="B178" s="3"/>
      <c r="C178" s="3"/>
      <c r="D178" s="3"/>
      <c r="E178" s="3"/>
      <c r="F178" s="3"/>
      <c r="G178" s="3"/>
      <c r="H178" s="12"/>
      <c r="I178" s="3"/>
      <c r="J178" s="3"/>
      <c r="K178" s="3"/>
      <c r="L178" s="3"/>
      <c r="M178" s="3"/>
    </row>
    <row r="179" spans="1:13">
      <c r="A179" s="3"/>
      <c r="B179" s="3"/>
      <c r="C179" s="3"/>
      <c r="D179" s="3"/>
      <c r="E179" s="3"/>
      <c r="F179" s="3"/>
      <c r="G179" s="3"/>
      <c r="H179" s="12"/>
      <c r="I179" s="3"/>
      <c r="J179" s="3"/>
      <c r="K179" s="3"/>
      <c r="L179" s="3"/>
      <c r="M179" s="3"/>
    </row>
    <row r="180" spans="1:13">
      <c r="A180" s="3"/>
      <c r="B180" s="3"/>
      <c r="C180" s="3"/>
      <c r="D180" s="3"/>
      <c r="E180" s="3"/>
      <c r="F180" s="3"/>
      <c r="G180" s="3"/>
      <c r="H180" s="12"/>
      <c r="I180" s="3"/>
      <c r="J180" s="3"/>
      <c r="K180" s="3"/>
      <c r="L180" s="3"/>
      <c r="M180" s="3"/>
    </row>
    <row r="181" spans="1:13">
      <c r="A181" s="3"/>
      <c r="B181" s="3"/>
      <c r="C181" s="3"/>
      <c r="D181" s="3"/>
      <c r="E181" s="3"/>
      <c r="F181" s="3"/>
      <c r="G181" s="3"/>
      <c r="H181" s="12"/>
      <c r="I181" s="3"/>
      <c r="J181" s="3"/>
      <c r="K181" s="3"/>
      <c r="L181" s="3"/>
      <c r="M181" s="3"/>
    </row>
    <row r="182" spans="1:13">
      <c r="A182" s="3"/>
      <c r="B182" s="3"/>
      <c r="C182" s="3"/>
      <c r="D182" s="3"/>
      <c r="E182" s="3"/>
      <c r="F182" s="3"/>
      <c r="G182" s="3"/>
      <c r="H182" s="12"/>
      <c r="I182" s="3"/>
      <c r="J182" s="3"/>
      <c r="K182" s="3"/>
      <c r="L182" s="3"/>
      <c r="M182" s="3"/>
    </row>
    <row r="183" spans="1:13">
      <c r="A183" s="3"/>
      <c r="B183" s="3"/>
      <c r="C183" s="3"/>
      <c r="D183" s="3"/>
      <c r="E183" s="3"/>
      <c r="F183" s="3"/>
      <c r="G183" s="3"/>
      <c r="H183" s="12"/>
      <c r="I183" s="3"/>
      <c r="J183" s="3"/>
      <c r="K183" s="3"/>
      <c r="L183" s="3"/>
      <c r="M183" s="3"/>
    </row>
    <row r="184" spans="1:13">
      <c r="A184" s="3"/>
      <c r="B184" s="3"/>
      <c r="C184" s="3"/>
      <c r="D184" s="3"/>
      <c r="E184" s="3"/>
      <c r="F184" s="3"/>
      <c r="G184" s="3"/>
      <c r="H184" s="12"/>
      <c r="I184" s="3"/>
      <c r="J184" s="3"/>
      <c r="K184" s="3"/>
      <c r="L184" s="3"/>
      <c r="M184" s="3"/>
    </row>
    <row r="185" spans="1:13">
      <c r="A185" s="3"/>
      <c r="B185" s="3"/>
      <c r="C185" s="3"/>
      <c r="D185" s="3"/>
      <c r="E185" s="3"/>
      <c r="F185" s="3"/>
      <c r="G185" s="3"/>
      <c r="H185" s="12"/>
      <c r="I185" s="3"/>
      <c r="J185" s="3"/>
      <c r="K185" s="3"/>
      <c r="L185" s="3"/>
      <c r="M185" s="3"/>
    </row>
    <row r="186" spans="1:13">
      <c r="A186" s="3"/>
      <c r="B186" s="3"/>
      <c r="C186" s="3"/>
      <c r="D186" s="3"/>
      <c r="E186" s="3"/>
      <c r="F186" s="3"/>
      <c r="G186" s="3"/>
      <c r="H186" s="12"/>
      <c r="I186" s="3"/>
      <c r="J186" s="3"/>
      <c r="K186" s="3"/>
      <c r="L186" s="3"/>
      <c r="M186" s="3"/>
    </row>
    <row r="187" spans="1:13">
      <c r="A187" s="3"/>
      <c r="B187" s="3"/>
      <c r="C187" s="3"/>
      <c r="D187" s="3"/>
      <c r="E187" s="3"/>
      <c r="F187" s="3"/>
      <c r="G187" s="3"/>
      <c r="H187" s="12"/>
      <c r="I187" s="3"/>
      <c r="J187" s="3"/>
      <c r="K187" s="3"/>
      <c r="L187" s="3"/>
      <c r="M187" s="3"/>
    </row>
    <row r="188" spans="1:13">
      <c r="A188" s="3"/>
      <c r="B188" s="3"/>
      <c r="C188" s="3"/>
      <c r="D188" s="3"/>
      <c r="E188" s="3"/>
      <c r="F188" s="3"/>
      <c r="G188" s="3"/>
      <c r="H188" s="12"/>
      <c r="I188" s="3"/>
      <c r="J188" s="3"/>
      <c r="K188" s="3"/>
      <c r="L188" s="3"/>
      <c r="M188" s="3"/>
    </row>
    <row r="189" spans="1:13">
      <c r="A189" s="3"/>
      <c r="B189" s="3"/>
      <c r="C189" s="3"/>
      <c r="D189" s="3"/>
      <c r="E189" s="3"/>
      <c r="F189" s="3"/>
      <c r="G189" s="3"/>
      <c r="H189" s="12"/>
      <c r="I189" s="3"/>
      <c r="J189" s="3"/>
      <c r="K189" s="3"/>
      <c r="L189" s="3"/>
      <c r="M189" s="3"/>
    </row>
    <row r="190" spans="1:13">
      <c r="A190" s="3"/>
      <c r="B190" s="3"/>
      <c r="C190" s="3"/>
      <c r="D190" s="3"/>
      <c r="E190" s="3"/>
      <c r="F190" s="3"/>
      <c r="G190" s="3"/>
      <c r="H190" s="12"/>
      <c r="I190" s="3"/>
      <c r="J190" s="3"/>
      <c r="K190" s="3"/>
      <c r="L190" s="3"/>
      <c r="M190" s="3"/>
    </row>
    <row r="191" spans="1:13">
      <c r="A191" s="3"/>
      <c r="B191" s="3"/>
      <c r="C191" s="3"/>
      <c r="D191" s="3"/>
      <c r="E191" s="3"/>
      <c r="F191" s="3"/>
      <c r="G191" s="3"/>
      <c r="H191" s="12"/>
      <c r="I191" s="3"/>
      <c r="J191" s="3"/>
      <c r="K191" s="3"/>
      <c r="L191" s="3"/>
      <c r="M191" s="3"/>
    </row>
    <row r="192" spans="1:13">
      <c r="A192" s="3"/>
      <c r="B192" s="3"/>
      <c r="C192" s="3"/>
      <c r="D192" s="3"/>
      <c r="E192" s="3"/>
      <c r="F192" s="3"/>
      <c r="G192" s="3"/>
      <c r="H192" s="12"/>
      <c r="I192" s="3"/>
      <c r="J192" s="3"/>
      <c r="K192" s="3"/>
      <c r="L192" s="3"/>
      <c r="M192" s="3"/>
    </row>
    <row r="193" spans="1:13">
      <c r="A193" s="3"/>
      <c r="B193" s="3"/>
      <c r="C193" s="3"/>
      <c r="D193" s="3"/>
      <c r="E193" s="3"/>
      <c r="F193" s="3"/>
      <c r="G193" s="3"/>
      <c r="H193" s="12"/>
      <c r="I193" s="3"/>
      <c r="J193" s="3"/>
      <c r="K193" s="3"/>
      <c r="L193" s="3"/>
      <c r="M193" s="3"/>
    </row>
    <row r="194" spans="1:13">
      <c r="A194" s="3"/>
      <c r="B194" s="3"/>
      <c r="C194" s="3"/>
      <c r="D194" s="3"/>
      <c r="E194" s="3"/>
      <c r="F194" s="3"/>
      <c r="G194" s="3"/>
      <c r="H194" s="12"/>
      <c r="I194" s="3"/>
      <c r="J194" s="3"/>
      <c r="K194" s="3"/>
      <c r="L194" s="3"/>
      <c r="M194" s="3"/>
    </row>
    <row r="195" spans="1:13">
      <c r="A195" s="3"/>
      <c r="B195" s="3"/>
      <c r="C195" s="3"/>
      <c r="D195" s="3"/>
      <c r="E195" s="3"/>
      <c r="F195" s="3"/>
      <c r="G195" s="3"/>
      <c r="H195" s="12"/>
      <c r="I195" s="3"/>
      <c r="J195" s="3"/>
      <c r="K195" s="3"/>
      <c r="L195" s="3"/>
      <c r="M195" s="3"/>
    </row>
    <row r="196" spans="1:13">
      <c r="A196" s="3"/>
      <c r="B196" s="3"/>
      <c r="C196" s="3"/>
      <c r="D196" s="3"/>
      <c r="E196" s="3"/>
      <c r="F196" s="3"/>
      <c r="G196" s="3"/>
      <c r="H196" s="12"/>
      <c r="I196" s="3"/>
      <c r="J196" s="3"/>
      <c r="K196" s="3"/>
      <c r="L196" s="3"/>
      <c r="M196" s="3"/>
    </row>
    <row r="197" spans="1:13">
      <c r="A197" s="3"/>
      <c r="B197" s="3"/>
      <c r="C197" s="3"/>
      <c r="D197" s="3"/>
      <c r="E197" s="3"/>
      <c r="F197" s="3"/>
      <c r="G197" s="3"/>
      <c r="H197" s="12"/>
      <c r="I197" s="3"/>
      <c r="J197" s="3"/>
      <c r="K197" s="3"/>
      <c r="L197" s="3"/>
      <c r="M197" s="3"/>
    </row>
    <row r="198" spans="1:13">
      <c r="A198" s="3"/>
      <c r="B198" s="3"/>
      <c r="C198" s="3"/>
      <c r="D198" s="3"/>
      <c r="E198" s="3"/>
      <c r="F198" s="3"/>
      <c r="G198" s="3"/>
      <c r="H198" s="12"/>
      <c r="I198" s="3"/>
      <c r="J198" s="3"/>
      <c r="K198" s="3"/>
      <c r="L198" s="3"/>
      <c r="M198" s="3"/>
    </row>
    <row r="199" spans="1:13">
      <c r="A199" s="3"/>
      <c r="B199" s="3"/>
      <c r="C199" s="3"/>
      <c r="D199" s="3"/>
      <c r="E199" s="3"/>
      <c r="F199" s="3"/>
      <c r="G199" s="3"/>
      <c r="H199" s="12"/>
      <c r="I199" s="3"/>
      <c r="J199" s="3"/>
      <c r="K199" s="3"/>
      <c r="L199" s="3"/>
      <c r="M199" s="3"/>
    </row>
    <row r="200" spans="1:13">
      <c r="A200" s="3"/>
      <c r="B200" s="3"/>
      <c r="C200" s="3"/>
      <c r="D200" s="3"/>
      <c r="E200" s="3"/>
      <c r="F200" s="3"/>
      <c r="G200" s="3"/>
      <c r="H200" s="12"/>
      <c r="I200" s="3"/>
      <c r="J200" s="3"/>
      <c r="K200" s="3"/>
      <c r="L200" s="3"/>
      <c r="M200" s="3"/>
    </row>
    <row r="201" spans="1:13">
      <c r="A201" s="3"/>
      <c r="B201" s="3"/>
      <c r="C201" s="3"/>
      <c r="D201" s="3"/>
      <c r="E201" s="3"/>
      <c r="F201" s="3"/>
      <c r="G201" s="3"/>
      <c r="H201" s="12"/>
      <c r="I201" s="3"/>
      <c r="J201" s="3"/>
      <c r="K201" s="3"/>
      <c r="L201" s="3"/>
      <c r="M201" s="3"/>
    </row>
    <row r="202" spans="1:13">
      <c r="A202" s="3"/>
      <c r="B202" s="3"/>
      <c r="C202" s="3"/>
      <c r="D202" s="3"/>
      <c r="E202" s="3"/>
      <c r="F202" s="3"/>
      <c r="G202" s="3"/>
      <c r="H202" s="12"/>
      <c r="I202" s="3"/>
      <c r="J202" s="3"/>
      <c r="K202" s="3"/>
      <c r="L202" s="3"/>
      <c r="M202" s="3"/>
    </row>
    <row r="203" spans="1:13">
      <c r="A203" s="3"/>
      <c r="B203" s="3"/>
      <c r="C203" s="3"/>
      <c r="D203" s="3"/>
      <c r="E203" s="3"/>
      <c r="F203" s="3"/>
      <c r="G203" s="3"/>
      <c r="H203" s="12"/>
      <c r="I203" s="3"/>
      <c r="J203" s="3"/>
      <c r="K203" s="3"/>
      <c r="L203" s="3"/>
      <c r="M203" s="3"/>
    </row>
    <row r="204" spans="1:13">
      <c r="A204" s="3"/>
      <c r="B204" s="3"/>
      <c r="C204" s="3"/>
      <c r="D204" s="3"/>
      <c r="E204" s="3"/>
      <c r="F204" s="3"/>
      <c r="G204" s="3"/>
      <c r="H204" s="12"/>
      <c r="I204" s="3"/>
      <c r="J204" s="3"/>
      <c r="K204" s="3"/>
      <c r="L204" s="3"/>
      <c r="M204" s="3"/>
    </row>
    <row r="205" spans="1:13">
      <c r="A205" s="3"/>
      <c r="B205" s="3"/>
      <c r="C205" s="3"/>
      <c r="D205" s="3"/>
      <c r="E205" s="3"/>
      <c r="F205" s="3"/>
      <c r="G205" s="3"/>
      <c r="H205" s="12"/>
      <c r="I205" s="3"/>
      <c r="J205" s="3"/>
      <c r="K205" s="3"/>
      <c r="L205" s="3"/>
      <c r="M205" s="3"/>
    </row>
    <row r="206" spans="1:13">
      <c r="A206" s="3"/>
      <c r="B206" s="3"/>
      <c r="C206" s="3"/>
      <c r="D206" s="3"/>
      <c r="E206" s="3"/>
      <c r="F206" s="3"/>
      <c r="G206" s="3"/>
      <c r="H206" s="12"/>
      <c r="I206" s="3"/>
      <c r="J206" s="3"/>
      <c r="K206" s="3"/>
      <c r="L206" s="3"/>
      <c r="M206" s="3"/>
    </row>
    <row r="207" spans="1:13">
      <c r="A207" s="3"/>
      <c r="B207" s="3"/>
      <c r="C207" s="3"/>
      <c r="D207" s="3"/>
      <c r="E207" s="3"/>
      <c r="F207" s="3"/>
      <c r="G207" s="3"/>
      <c r="H207" s="12"/>
      <c r="I207" s="3"/>
      <c r="J207" s="3"/>
      <c r="K207" s="3"/>
      <c r="L207" s="3"/>
      <c r="M207" s="3"/>
    </row>
    <row r="208" spans="1:13">
      <c r="A208" s="3"/>
      <c r="B208" s="3"/>
      <c r="C208" s="3"/>
      <c r="D208" s="3"/>
      <c r="E208" s="3"/>
      <c r="F208" s="3"/>
      <c r="G208" s="3"/>
      <c r="H208" s="12"/>
      <c r="I208" s="3"/>
      <c r="J208" s="3"/>
      <c r="K208" s="3"/>
      <c r="L208" s="3"/>
      <c r="M208" s="3"/>
    </row>
    <row r="209" spans="1:13">
      <c r="A209" s="3"/>
      <c r="B209" s="3"/>
      <c r="C209" s="3"/>
      <c r="D209" s="3"/>
      <c r="E209" s="3"/>
      <c r="F209" s="3"/>
      <c r="G209" s="3"/>
      <c r="H209" s="12"/>
      <c r="I209" s="3"/>
      <c r="J209" s="3"/>
      <c r="K209" s="3"/>
      <c r="L209" s="3"/>
      <c r="M209" s="3"/>
    </row>
    <row r="210" spans="1:13">
      <c r="A210" s="3"/>
      <c r="B210" s="3"/>
      <c r="C210" s="3"/>
      <c r="D210" s="3"/>
      <c r="E210" s="3"/>
      <c r="F210" s="3"/>
      <c r="G210" s="3"/>
      <c r="H210" s="12"/>
      <c r="I210" s="3"/>
      <c r="J210" s="3"/>
      <c r="K210" s="3"/>
      <c r="L210" s="3"/>
      <c r="M210" s="3"/>
    </row>
    <row r="211" spans="1:13">
      <c r="A211" s="3"/>
      <c r="B211" s="3"/>
      <c r="C211" s="3"/>
      <c r="D211" s="3"/>
      <c r="E211" s="3"/>
      <c r="F211" s="3"/>
      <c r="G211" s="3"/>
      <c r="H211" s="12"/>
      <c r="I211" s="3"/>
      <c r="J211" s="3"/>
      <c r="K211" s="3"/>
      <c r="L211" s="3"/>
      <c r="M211" s="3"/>
    </row>
    <row r="212" spans="1:13">
      <c r="A212" s="3"/>
      <c r="B212" s="3"/>
      <c r="C212" s="3"/>
      <c r="D212" s="3"/>
      <c r="E212" s="3"/>
      <c r="F212" s="3"/>
      <c r="G212" s="3"/>
      <c r="H212" s="12"/>
      <c r="I212" s="3"/>
      <c r="J212" s="3"/>
      <c r="K212" s="3"/>
      <c r="L212" s="3"/>
      <c r="M212" s="3"/>
    </row>
    <row r="213" spans="1:13">
      <c r="A213" s="3"/>
      <c r="B213" s="3"/>
      <c r="C213" s="3"/>
      <c r="D213" s="3"/>
      <c r="E213" s="3"/>
      <c r="F213" s="3"/>
      <c r="G213" s="3"/>
      <c r="H213" s="12"/>
      <c r="I213" s="3"/>
      <c r="J213" s="3"/>
      <c r="K213" s="3"/>
      <c r="L213" s="3"/>
      <c r="M213" s="3"/>
    </row>
    <row r="214" spans="1:13">
      <c r="A214" s="3"/>
      <c r="B214" s="3"/>
      <c r="C214" s="3"/>
      <c r="D214" s="3"/>
      <c r="E214" s="3"/>
      <c r="F214" s="3"/>
      <c r="G214" s="3"/>
      <c r="H214" s="12"/>
      <c r="I214" s="3"/>
      <c r="J214" s="3"/>
      <c r="K214" s="3"/>
      <c r="L214" s="3"/>
      <c r="M214" s="3"/>
    </row>
    <row r="215" spans="1:13">
      <c r="A215" s="3"/>
      <c r="B215" s="3"/>
      <c r="C215" s="3"/>
      <c r="D215" s="3"/>
      <c r="E215" s="3"/>
      <c r="F215" s="3"/>
      <c r="G215" s="3"/>
      <c r="H215" s="12"/>
      <c r="I215" s="3"/>
      <c r="J215" s="3"/>
      <c r="K215" s="3"/>
      <c r="L215" s="3"/>
      <c r="M215" s="3"/>
    </row>
    <row r="216" spans="1:13">
      <c r="A216" s="3"/>
      <c r="B216" s="3"/>
      <c r="C216" s="3"/>
      <c r="D216" s="3"/>
      <c r="E216" s="3"/>
      <c r="F216" s="3"/>
      <c r="G216" s="3"/>
      <c r="H216" s="12"/>
      <c r="I216" s="3"/>
      <c r="J216" s="3"/>
      <c r="K216" s="3"/>
      <c r="L216" s="3"/>
      <c r="M216" s="3"/>
    </row>
    <row r="217" spans="1:13">
      <c r="A217" s="3"/>
      <c r="B217" s="3"/>
      <c r="C217" s="3"/>
      <c r="D217" s="3"/>
      <c r="E217" s="3"/>
      <c r="F217" s="3"/>
      <c r="G217" s="3"/>
      <c r="H217" s="12"/>
      <c r="I217" s="3"/>
      <c r="J217" s="3"/>
      <c r="K217" s="3"/>
      <c r="L217" s="3"/>
      <c r="M217" s="3"/>
    </row>
    <row r="218" spans="1:13">
      <c r="A218" s="3"/>
      <c r="B218" s="3"/>
      <c r="C218" s="3"/>
      <c r="D218" s="3"/>
      <c r="E218" s="3"/>
      <c r="F218" s="3"/>
      <c r="G218" s="3"/>
      <c r="H218" s="12"/>
      <c r="I218" s="3"/>
      <c r="J218" s="3"/>
      <c r="K218" s="3"/>
      <c r="L218" s="3"/>
      <c r="M218" s="3"/>
    </row>
    <row r="219" spans="1:13">
      <c r="A219" s="3"/>
      <c r="B219" s="3"/>
      <c r="C219" s="3"/>
      <c r="D219" s="3"/>
      <c r="E219" s="3"/>
      <c r="F219" s="3"/>
      <c r="G219" s="3"/>
      <c r="H219" s="12"/>
      <c r="I219" s="3"/>
      <c r="J219" s="3"/>
      <c r="K219" s="3"/>
      <c r="L219" s="3"/>
      <c r="M219" s="3"/>
    </row>
    <row r="220" spans="1:13">
      <c r="A220" s="3"/>
      <c r="B220" s="3"/>
      <c r="C220" s="3"/>
      <c r="D220" s="3"/>
      <c r="E220" s="3"/>
      <c r="F220" s="3"/>
      <c r="G220" s="3"/>
      <c r="H220" s="12"/>
      <c r="I220" s="3"/>
      <c r="J220" s="3"/>
      <c r="K220" s="3"/>
      <c r="L220" s="3"/>
      <c r="M220" s="3"/>
    </row>
    <row r="221" spans="1:13">
      <c r="A221" s="3"/>
      <c r="B221" s="3"/>
      <c r="C221" s="3"/>
      <c r="D221" s="3"/>
      <c r="E221" s="3"/>
      <c r="F221" s="3"/>
      <c r="G221" s="3"/>
      <c r="H221" s="12"/>
      <c r="I221" s="3"/>
      <c r="J221" s="3"/>
      <c r="K221" s="3"/>
      <c r="L221" s="3"/>
      <c r="M221" s="3"/>
    </row>
    <row r="222" spans="1:13">
      <c r="A222" s="3"/>
      <c r="B222" s="3"/>
      <c r="C222" s="3"/>
      <c r="D222" s="3"/>
      <c r="E222" s="3"/>
      <c r="F222" s="3"/>
      <c r="G222" s="3"/>
      <c r="H222" s="12"/>
      <c r="I222" s="3"/>
      <c r="J222" s="3"/>
      <c r="K222" s="3"/>
      <c r="L222" s="3"/>
      <c r="M222" s="3"/>
    </row>
    <row r="223" spans="1:13">
      <c r="A223" s="3"/>
      <c r="B223" s="3"/>
      <c r="C223" s="3"/>
      <c r="D223" s="3"/>
      <c r="E223" s="3"/>
      <c r="F223" s="3"/>
      <c r="G223" s="3"/>
      <c r="H223" s="12"/>
      <c r="I223" s="3"/>
      <c r="J223" s="3"/>
      <c r="K223" s="3"/>
      <c r="L223" s="3"/>
      <c r="M223" s="3"/>
    </row>
    <row r="224" spans="1:13">
      <c r="A224" s="3"/>
      <c r="B224" s="3"/>
      <c r="C224" s="3"/>
      <c r="D224" s="3"/>
      <c r="E224" s="3"/>
      <c r="F224" s="3"/>
      <c r="G224" s="3"/>
      <c r="H224" s="12"/>
      <c r="I224" s="3"/>
      <c r="J224" s="3"/>
      <c r="K224" s="3"/>
      <c r="L224" s="3"/>
      <c r="M224" s="3"/>
    </row>
    <row r="225" spans="1:13">
      <c r="A225" s="3"/>
      <c r="B225" s="3"/>
      <c r="C225" s="3"/>
      <c r="D225" s="3"/>
      <c r="E225" s="3"/>
      <c r="F225" s="3"/>
      <c r="G225" s="3"/>
      <c r="H225" s="12"/>
      <c r="I225" s="3"/>
      <c r="J225" s="3"/>
      <c r="K225" s="3"/>
      <c r="L225" s="3"/>
      <c r="M225" s="3"/>
    </row>
    <row r="226" spans="1:13">
      <c r="A226" s="3"/>
      <c r="B226" s="3"/>
      <c r="C226" s="3"/>
      <c r="D226" s="3"/>
      <c r="E226" s="3"/>
      <c r="F226" s="3"/>
      <c r="G226" s="3"/>
      <c r="H226" s="12"/>
      <c r="I226" s="3"/>
      <c r="J226" s="3"/>
      <c r="K226" s="3"/>
      <c r="L226" s="3"/>
      <c r="M226" s="3"/>
    </row>
    <row r="227" spans="1:13">
      <c r="A227" s="3"/>
      <c r="B227" s="3"/>
      <c r="C227" s="3"/>
      <c r="D227" s="3"/>
      <c r="E227" s="3"/>
      <c r="F227" s="3"/>
      <c r="G227" s="3"/>
      <c r="H227" s="12"/>
      <c r="I227" s="3"/>
      <c r="J227" s="3"/>
      <c r="K227" s="3"/>
      <c r="L227" s="3"/>
      <c r="M227" s="3"/>
    </row>
    <row r="228" spans="1:13">
      <c r="A228" s="3"/>
      <c r="B228" s="3"/>
      <c r="C228" s="3"/>
      <c r="D228" s="3"/>
      <c r="E228" s="3"/>
      <c r="F228" s="3"/>
      <c r="G228" s="3"/>
      <c r="H228" s="12"/>
      <c r="I228" s="3"/>
      <c r="J228" s="3"/>
      <c r="K228" s="3"/>
      <c r="L228" s="3"/>
      <c r="M228" s="3"/>
    </row>
    <row r="229" spans="1:13">
      <c r="A229" s="3"/>
      <c r="B229" s="3"/>
      <c r="C229" s="3"/>
      <c r="D229" s="3"/>
      <c r="E229" s="3"/>
      <c r="F229" s="3"/>
      <c r="G229" s="3"/>
      <c r="H229" s="12"/>
      <c r="I229" s="3"/>
      <c r="J229" s="3"/>
      <c r="K229" s="3"/>
      <c r="L229" s="3"/>
      <c r="M229" s="3"/>
    </row>
    <row r="230" spans="1:13">
      <c r="A230" s="3"/>
      <c r="B230" s="3"/>
      <c r="C230" s="3"/>
      <c r="D230" s="3"/>
      <c r="E230" s="3"/>
      <c r="F230" s="3"/>
      <c r="G230" s="3"/>
      <c r="H230" s="12"/>
      <c r="I230" s="3"/>
      <c r="J230" s="3"/>
      <c r="K230" s="3"/>
      <c r="L230" s="3"/>
      <c r="M230" s="3"/>
    </row>
    <row r="231" spans="1:13">
      <c r="A231" s="3"/>
      <c r="B231" s="3"/>
      <c r="C231" s="3"/>
      <c r="D231" s="3"/>
      <c r="E231" s="3"/>
      <c r="F231" s="3"/>
      <c r="G231" s="3"/>
      <c r="H231" s="12"/>
      <c r="I231" s="3"/>
      <c r="J231" s="3"/>
      <c r="K231" s="3"/>
      <c r="L231" s="3"/>
      <c r="M231" s="3"/>
    </row>
    <row r="232" spans="1:13">
      <c r="A232" s="3"/>
      <c r="B232" s="3"/>
      <c r="C232" s="3"/>
      <c r="D232" s="3"/>
      <c r="E232" s="3"/>
      <c r="F232" s="3"/>
      <c r="G232" s="3"/>
      <c r="H232" s="12"/>
      <c r="I232" s="3"/>
      <c r="J232" s="3"/>
      <c r="K232" s="3"/>
      <c r="L232" s="3"/>
      <c r="M232" s="3"/>
    </row>
    <row r="233" spans="1:13">
      <c r="A233" s="3"/>
      <c r="B233" s="3"/>
      <c r="C233" s="3"/>
      <c r="D233" s="3"/>
      <c r="E233" s="3"/>
      <c r="F233" s="3"/>
      <c r="G233" s="3"/>
      <c r="H233" s="12"/>
      <c r="I233" s="3"/>
      <c r="J233" s="3"/>
      <c r="K233" s="3"/>
      <c r="L233" s="3"/>
      <c r="M233" s="3"/>
    </row>
    <row r="234" spans="1:13">
      <c r="A234" s="3"/>
      <c r="B234" s="3"/>
      <c r="C234" s="3"/>
      <c r="D234" s="3"/>
      <c r="E234" s="3"/>
      <c r="F234" s="3"/>
      <c r="G234" s="3"/>
      <c r="H234" s="12"/>
      <c r="I234" s="3"/>
      <c r="J234" s="3"/>
      <c r="K234" s="3"/>
      <c r="L234" s="3"/>
      <c r="M234" s="3"/>
    </row>
    <row r="235" spans="1:13">
      <c r="A235" s="3"/>
      <c r="B235" s="3"/>
      <c r="C235" s="3"/>
      <c r="D235" s="3"/>
      <c r="E235" s="3"/>
      <c r="F235" s="3"/>
      <c r="G235" s="3"/>
      <c r="H235" s="12"/>
      <c r="I235" s="3"/>
      <c r="J235" s="3"/>
      <c r="K235" s="3"/>
      <c r="L235" s="3"/>
      <c r="M235" s="3"/>
    </row>
    <row r="236" spans="1:13">
      <c r="A236" s="3"/>
      <c r="B236" s="3"/>
      <c r="C236" s="3"/>
      <c r="D236" s="3"/>
      <c r="E236" s="3"/>
      <c r="F236" s="3"/>
      <c r="G236" s="3"/>
      <c r="H236" s="12"/>
      <c r="I236" s="3"/>
      <c r="J236" s="3"/>
      <c r="K236" s="3"/>
      <c r="L236" s="3"/>
      <c r="M236" s="3"/>
    </row>
    <row r="237" spans="1:13">
      <c r="A237" s="3"/>
      <c r="B237" s="3"/>
      <c r="C237" s="3"/>
      <c r="D237" s="3"/>
      <c r="E237" s="3"/>
      <c r="F237" s="3"/>
      <c r="G237" s="3"/>
      <c r="H237" s="12"/>
      <c r="I237" s="3"/>
      <c r="J237" s="3"/>
      <c r="K237" s="3"/>
      <c r="L237" s="3"/>
      <c r="M237" s="3"/>
    </row>
    <row r="238" spans="1:13">
      <c r="A238" s="3"/>
      <c r="B238" s="3"/>
      <c r="C238" s="3"/>
      <c r="D238" s="3"/>
      <c r="E238" s="3"/>
      <c r="F238" s="3"/>
      <c r="G238" s="3"/>
      <c r="H238" s="12"/>
      <c r="I238" s="3"/>
      <c r="J238" s="3"/>
      <c r="K238" s="3"/>
      <c r="L238" s="3"/>
      <c r="M238" s="3"/>
    </row>
    <row r="239" spans="1:13">
      <c r="A239" s="3"/>
      <c r="B239" s="3"/>
      <c r="C239" s="3"/>
      <c r="D239" s="3"/>
      <c r="E239" s="3"/>
      <c r="F239" s="3"/>
      <c r="G239" s="3"/>
      <c r="H239" s="12"/>
      <c r="I239" s="3"/>
      <c r="J239" s="3"/>
      <c r="K239" s="3"/>
      <c r="L239" s="3"/>
      <c r="M239" s="3"/>
    </row>
    <row r="240" spans="1:13">
      <c r="A240" s="3"/>
      <c r="B240" s="3"/>
      <c r="C240" s="3"/>
      <c r="D240" s="3"/>
      <c r="E240" s="3"/>
      <c r="F240" s="3"/>
      <c r="G240" s="3"/>
      <c r="H240" s="12"/>
      <c r="I240" s="3"/>
      <c r="J240" s="3"/>
      <c r="K240" s="3"/>
      <c r="L240" s="3"/>
      <c r="M240" s="3"/>
    </row>
    <row r="241" spans="1:13">
      <c r="A241" s="3"/>
      <c r="B241" s="3"/>
      <c r="C241" s="3"/>
      <c r="D241" s="3"/>
      <c r="E241" s="3"/>
      <c r="F241" s="3"/>
      <c r="G241" s="3"/>
      <c r="H241" s="12"/>
      <c r="I241" s="3"/>
      <c r="J241" s="3"/>
      <c r="K241" s="3"/>
      <c r="L241" s="3"/>
      <c r="M241" s="3"/>
    </row>
    <row r="242" spans="1:13">
      <c r="A242" s="3"/>
      <c r="B242" s="3"/>
      <c r="C242" s="3"/>
      <c r="D242" s="3"/>
      <c r="E242" s="3"/>
      <c r="F242" s="3"/>
      <c r="G242" s="3"/>
      <c r="H242" s="12"/>
      <c r="I242" s="3"/>
      <c r="J242" s="3"/>
      <c r="K242" s="3"/>
      <c r="L242" s="3"/>
      <c r="M242" s="3"/>
    </row>
    <row r="243" spans="1:13">
      <c r="A243" s="3"/>
      <c r="B243" s="3"/>
      <c r="C243" s="3"/>
      <c r="D243" s="3"/>
      <c r="E243" s="3"/>
      <c r="F243" s="3"/>
      <c r="G243" s="3"/>
      <c r="H243" s="12"/>
      <c r="I243" s="3"/>
      <c r="J243" s="3"/>
      <c r="K243" s="3"/>
      <c r="L243" s="3"/>
      <c r="M243" s="3"/>
    </row>
    <row r="244" spans="1:13">
      <c r="A244" s="3"/>
      <c r="B244" s="3"/>
      <c r="C244" s="3"/>
      <c r="D244" s="3"/>
      <c r="E244" s="3"/>
      <c r="F244" s="3"/>
      <c r="G244" s="3"/>
      <c r="H244" s="12"/>
      <c r="I244" s="3"/>
      <c r="J244" s="3"/>
      <c r="K244" s="3"/>
      <c r="L244" s="3"/>
      <c r="M244" s="3"/>
    </row>
    <row r="245" spans="1:13">
      <c r="A245" s="3"/>
      <c r="B245" s="3"/>
      <c r="C245" s="3"/>
      <c r="D245" s="3"/>
      <c r="E245" s="3"/>
      <c r="F245" s="3"/>
      <c r="G245" s="3"/>
      <c r="H245" s="12"/>
      <c r="I245" s="3"/>
      <c r="J245" s="3"/>
      <c r="K245" s="3"/>
      <c r="L245" s="3"/>
      <c r="M245" s="3"/>
    </row>
    <row r="246" spans="1:13">
      <c r="A246" s="3"/>
      <c r="B246" s="3"/>
      <c r="C246" s="3"/>
      <c r="D246" s="3"/>
      <c r="E246" s="3"/>
      <c r="F246" s="3"/>
      <c r="G246" s="3"/>
      <c r="H246" s="12"/>
      <c r="I246" s="3"/>
      <c r="J246" s="3"/>
      <c r="K246" s="3"/>
      <c r="L246" s="3"/>
      <c r="M246" s="3"/>
    </row>
    <row r="247" spans="1:13">
      <c r="A247" s="3"/>
      <c r="B247" s="3"/>
      <c r="C247" s="3"/>
      <c r="D247" s="3"/>
      <c r="E247" s="3"/>
      <c r="F247" s="3"/>
      <c r="G247" s="3"/>
      <c r="H247" s="12"/>
      <c r="I247" s="3"/>
      <c r="J247" s="3"/>
      <c r="K247" s="3"/>
      <c r="L247" s="3"/>
      <c r="M247" s="3"/>
    </row>
    <row r="248" spans="1:13">
      <c r="A248" s="3"/>
      <c r="B248" s="3"/>
      <c r="C248" s="3"/>
      <c r="D248" s="3"/>
      <c r="E248" s="3"/>
      <c r="F248" s="3"/>
      <c r="G248" s="3"/>
      <c r="H248" s="12"/>
      <c r="I248" s="3"/>
      <c r="J248" s="3"/>
      <c r="K248" s="3"/>
      <c r="L248" s="3"/>
      <c r="M248" s="3"/>
    </row>
    <row r="249" spans="1:13">
      <c r="A249" s="3"/>
      <c r="B249" s="3"/>
      <c r="C249" s="3"/>
      <c r="D249" s="3"/>
      <c r="E249" s="3"/>
      <c r="F249" s="3"/>
      <c r="G249" s="3"/>
      <c r="H249" s="12"/>
      <c r="I249" s="3"/>
      <c r="J249" s="3"/>
      <c r="K249" s="3"/>
      <c r="L249" s="3"/>
      <c r="M249" s="3"/>
    </row>
    <row r="250" spans="1:13">
      <c r="A250" s="3"/>
      <c r="B250" s="3"/>
      <c r="C250" s="3"/>
      <c r="D250" s="3"/>
      <c r="E250" s="3"/>
      <c r="F250" s="3"/>
      <c r="G250" s="3"/>
      <c r="H250" s="12"/>
      <c r="I250" s="3"/>
      <c r="J250" s="3"/>
      <c r="K250" s="3"/>
      <c r="L250" s="3"/>
      <c r="M250" s="3"/>
    </row>
    <row r="251" spans="1:13">
      <c r="A251" s="3"/>
      <c r="B251" s="3"/>
      <c r="C251" s="3"/>
      <c r="D251" s="3"/>
      <c r="E251" s="3"/>
      <c r="F251" s="3"/>
      <c r="G251" s="3"/>
      <c r="H251" s="12"/>
      <c r="I251" s="3"/>
      <c r="J251" s="3"/>
      <c r="K251" s="3"/>
      <c r="L251" s="3"/>
      <c r="M251" s="3"/>
    </row>
    <row r="252" spans="1:13">
      <c r="A252" s="3"/>
      <c r="B252" s="3"/>
      <c r="C252" s="3"/>
      <c r="D252" s="3"/>
      <c r="E252" s="3"/>
      <c r="F252" s="3"/>
      <c r="G252" s="3"/>
      <c r="H252" s="12"/>
      <c r="I252" s="3"/>
      <c r="J252" s="3"/>
      <c r="K252" s="3"/>
      <c r="L252" s="3"/>
      <c r="M252" s="3"/>
    </row>
    <row r="253" spans="1:13">
      <c r="A253" s="3"/>
      <c r="B253" s="3"/>
      <c r="C253" s="3"/>
      <c r="D253" s="3"/>
      <c r="E253" s="3"/>
      <c r="F253" s="3"/>
      <c r="G253" s="3"/>
      <c r="H253" s="12"/>
      <c r="I253" s="3"/>
      <c r="J253" s="3"/>
      <c r="K253" s="3"/>
      <c r="L253" s="3"/>
      <c r="M253" s="3"/>
    </row>
    <row r="254" spans="1:13">
      <c r="A254" s="3"/>
      <c r="B254" s="3"/>
      <c r="C254" s="3"/>
      <c r="D254" s="3"/>
      <c r="E254" s="3"/>
      <c r="F254" s="3"/>
      <c r="G254" s="3"/>
      <c r="H254" s="12"/>
      <c r="I254" s="3"/>
      <c r="J254" s="3"/>
      <c r="K254" s="3"/>
      <c r="L254" s="3"/>
      <c r="M254" s="3"/>
    </row>
    <row r="255" spans="1:13">
      <c r="A255" s="3"/>
      <c r="B255" s="3"/>
      <c r="C255" s="3"/>
      <c r="D255" s="3"/>
      <c r="E255" s="3"/>
      <c r="F255" s="3"/>
      <c r="G255" s="3"/>
      <c r="H255" s="12"/>
      <c r="I255" s="3"/>
      <c r="J255" s="3"/>
      <c r="K255" s="3"/>
      <c r="L255" s="3"/>
      <c r="M255" s="3"/>
    </row>
    <row r="256" spans="1:13">
      <c r="A256" s="3"/>
      <c r="B256" s="3"/>
      <c r="C256" s="3"/>
      <c r="D256" s="3"/>
      <c r="E256" s="3"/>
      <c r="F256" s="3"/>
      <c r="G256" s="3"/>
      <c r="H256" s="12"/>
      <c r="I256" s="3"/>
      <c r="J256" s="3"/>
      <c r="K256" s="3"/>
      <c r="L256" s="3"/>
      <c r="M256" s="3"/>
    </row>
    <row r="257" spans="1:13">
      <c r="A257" s="3"/>
      <c r="B257" s="3"/>
      <c r="C257" s="3"/>
      <c r="D257" s="3"/>
      <c r="E257" s="3"/>
      <c r="F257" s="3"/>
      <c r="G257" s="3"/>
      <c r="H257" s="12"/>
      <c r="I257" s="3"/>
      <c r="J257" s="3"/>
      <c r="K257" s="3"/>
      <c r="L257" s="3"/>
      <c r="M257" s="3"/>
    </row>
    <row r="258" spans="1:13">
      <c r="A258" s="3"/>
      <c r="B258" s="3"/>
      <c r="C258" s="3"/>
      <c r="D258" s="3"/>
      <c r="E258" s="3"/>
      <c r="F258" s="3"/>
      <c r="G258" s="3"/>
      <c r="H258" s="12"/>
      <c r="I258" s="3"/>
      <c r="J258" s="3"/>
      <c r="K258" s="3"/>
      <c r="L258" s="3"/>
      <c r="M258" s="3"/>
    </row>
    <row r="259" spans="1:13">
      <c r="A259" s="3"/>
      <c r="B259" s="3"/>
      <c r="C259" s="3"/>
      <c r="D259" s="3"/>
      <c r="E259" s="3"/>
      <c r="F259" s="3"/>
      <c r="G259" s="3"/>
      <c r="H259" s="12"/>
      <c r="I259" s="3"/>
      <c r="J259" s="3"/>
      <c r="K259" s="3"/>
      <c r="L259" s="3"/>
      <c r="M259" s="3"/>
    </row>
    <row r="260" spans="1:13">
      <c r="A260" s="3"/>
      <c r="B260" s="3"/>
      <c r="C260" s="3"/>
      <c r="D260" s="3"/>
      <c r="E260" s="3"/>
      <c r="F260" s="3"/>
      <c r="G260" s="3"/>
      <c r="H260" s="12"/>
      <c r="I260" s="3"/>
      <c r="J260" s="3"/>
      <c r="K260" s="3"/>
      <c r="L260" s="3"/>
      <c r="M260" s="3"/>
    </row>
    <row r="261" spans="1:13">
      <c r="A261" s="3"/>
      <c r="B261" s="3"/>
      <c r="C261" s="3"/>
      <c r="D261" s="3"/>
      <c r="E261" s="3"/>
      <c r="F261" s="3"/>
      <c r="G261" s="3"/>
      <c r="H261" s="12"/>
      <c r="I261" s="3"/>
      <c r="J261" s="3"/>
      <c r="K261" s="3"/>
      <c r="L261" s="3"/>
      <c r="M261" s="3"/>
    </row>
    <row r="262" spans="1:13">
      <c r="A262" s="3"/>
      <c r="B262" s="3"/>
      <c r="C262" s="3"/>
      <c r="D262" s="3"/>
      <c r="E262" s="3"/>
      <c r="F262" s="3"/>
      <c r="G262" s="3"/>
      <c r="H262" s="12"/>
      <c r="I262" s="3"/>
      <c r="J262" s="3"/>
      <c r="K262" s="3"/>
      <c r="L262" s="3"/>
      <c r="M262" s="3"/>
    </row>
    <row r="263" spans="1:13">
      <c r="A263" s="3"/>
      <c r="B263" s="3"/>
      <c r="C263" s="3"/>
      <c r="D263" s="3"/>
      <c r="E263" s="3"/>
      <c r="F263" s="3"/>
      <c r="G263" s="3"/>
      <c r="H263" s="12"/>
      <c r="I263" s="3"/>
      <c r="J263" s="3"/>
      <c r="K263" s="3"/>
      <c r="L263" s="3"/>
      <c r="M263" s="3"/>
    </row>
    <row r="264" spans="1:13">
      <c r="A264" s="3"/>
      <c r="B264" s="3"/>
      <c r="C264" s="3"/>
      <c r="D264" s="3"/>
      <c r="E264" s="3"/>
      <c r="F264" s="3"/>
      <c r="G264" s="3"/>
      <c r="H264" s="12"/>
      <c r="I264" s="3"/>
      <c r="J264" s="3"/>
      <c r="K264" s="3"/>
      <c r="L264" s="3"/>
      <c r="M264" s="3"/>
    </row>
    <row r="265" spans="1:13">
      <c r="A265" s="3"/>
      <c r="B265" s="3"/>
      <c r="C265" s="3"/>
      <c r="D265" s="3"/>
      <c r="E265" s="3"/>
      <c r="F265" s="3"/>
      <c r="G265" s="3"/>
      <c r="H265" s="12"/>
      <c r="I265" s="3"/>
      <c r="J265" s="3"/>
      <c r="K265" s="3"/>
      <c r="L265" s="3"/>
      <c r="M265" s="3"/>
    </row>
    <row r="266" spans="1:13">
      <c r="A266" s="3"/>
      <c r="B266" s="3"/>
      <c r="C266" s="3"/>
      <c r="D266" s="3"/>
      <c r="E266" s="3"/>
      <c r="F266" s="3"/>
      <c r="G266" s="3"/>
      <c r="H266" s="12"/>
      <c r="I266" s="3"/>
      <c r="J266" s="3"/>
      <c r="K266" s="3"/>
      <c r="L266" s="3"/>
      <c r="M266" s="3"/>
    </row>
    <row r="267" spans="1:13">
      <c r="A267" s="3"/>
      <c r="B267" s="3"/>
      <c r="C267" s="3"/>
      <c r="D267" s="3"/>
      <c r="E267" s="3"/>
      <c r="F267" s="3"/>
      <c r="G267" s="3"/>
      <c r="H267" s="12"/>
      <c r="I267" s="3"/>
      <c r="J267" s="3"/>
      <c r="K267" s="3"/>
      <c r="L267" s="3"/>
      <c r="M267" s="3"/>
    </row>
    <row r="268" spans="1:13">
      <c r="A268" s="3"/>
      <c r="B268" s="3"/>
      <c r="C268" s="3"/>
      <c r="D268" s="3"/>
      <c r="E268" s="3"/>
      <c r="F268" s="3"/>
      <c r="G268" s="3"/>
      <c r="H268" s="12"/>
      <c r="I268" s="3"/>
      <c r="J268" s="3"/>
      <c r="K268" s="3"/>
      <c r="L268" s="3"/>
      <c r="M268" s="3"/>
    </row>
    <row r="269" spans="1:13">
      <c r="A269" s="3"/>
      <c r="B269" s="3"/>
      <c r="C269" s="3"/>
      <c r="D269" s="3"/>
      <c r="E269" s="3"/>
      <c r="F269" s="3"/>
      <c r="G269" s="3"/>
      <c r="H269" s="12"/>
      <c r="I269" s="3"/>
      <c r="J269" s="3"/>
      <c r="K269" s="3"/>
      <c r="L269" s="3"/>
      <c r="M269" s="3"/>
    </row>
    <row r="270" spans="1:13">
      <c r="A270" s="3"/>
      <c r="B270" s="3"/>
      <c r="C270" s="3"/>
      <c r="D270" s="3"/>
      <c r="E270" s="3"/>
      <c r="F270" s="3"/>
      <c r="G270" s="3"/>
      <c r="H270" s="12"/>
      <c r="I270" s="3"/>
      <c r="J270" s="3"/>
      <c r="K270" s="3"/>
      <c r="L270" s="3"/>
      <c r="M270" s="3"/>
    </row>
    <row r="271" spans="1:13">
      <c r="A271" s="3"/>
      <c r="B271" s="3"/>
      <c r="C271" s="3"/>
      <c r="D271" s="3"/>
      <c r="E271" s="3"/>
      <c r="F271" s="3"/>
      <c r="G271" s="3"/>
      <c r="H271" s="12"/>
      <c r="I271" s="3"/>
      <c r="J271" s="3"/>
      <c r="K271" s="3"/>
      <c r="L271" s="3"/>
      <c r="M271" s="3"/>
    </row>
    <row r="272" spans="1:13">
      <c r="A272" s="3"/>
      <c r="B272" s="3"/>
      <c r="C272" s="3"/>
      <c r="D272" s="3"/>
      <c r="E272" s="3"/>
      <c r="F272" s="3"/>
      <c r="G272" s="3"/>
      <c r="H272" s="12"/>
      <c r="I272" s="3"/>
      <c r="J272" s="3"/>
      <c r="K272" s="3"/>
      <c r="L272" s="3"/>
      <c r="M272" s="3"/>
    </row>
    <row r="273" spans="1:13">
      <c r="A273" s="3"/>
      <c r="B273" s="3"/>
      <c r="C273" s="3"/>
      <c r="D273" s="3"/>
      <c r="E273" s="3"/>
      <c r="F273" s="3"/>
      <c r="G273" s="3"/>
      <c r="H273" s="12"/>
      <c r="I273" s="3"/>
      <c r="J273" s="3"/>
      <c r="K273" s="3"/>
      <c r="L273" s="3"/>
      <c r="M273" s="3"/>
    </row>
    <row r="274" spans="1:13">
      <c r="A274" s="3"/>
      <c r="B274" s="3"/>
      <c r="C274" s="3"/>
      <c r="D274" s="3"/>
      <c r="E274" s="3"/>
      <c r="F274" s="3"/>
      <c r="G274" s="3"/>
      <c r="H274" s="12"/>
      <c r="I274" s="3"/>
      <c r="J274" s="3"/>
      <c r="K274" s="3"/>
      <c r="L274" s="3"/>
      <c r="M274" s="3"/>
    </row>
    <row r="275" spans="1:13">
      <c r="A275" s="3"/>
      <c r="B275" s="3"/>
      <c r="C275" s="3"/>
      <c r="D275" s="3"/>
      <c r="E275" s="3"/>
      <c r="F275" s="3"/>
      <c r="G275" s="3"/>
      <c r="H275" s="12"/>
      <c r="I275" s="3"/>
      <c r="J275" s="3"/>
      <c r="K275" s="3"/>
      <c r="L275" s="3"/>
      <c r="M275" s="3"/>
    </row>
    <row r="276" spans="1:13">
      <c r="A276" s="3"/>
      <c r="B276" s="3"/>
      <c r="C276" s="3"/>
      <c r="D276" s="3"/>
      <c r="E276" s="3"/>
      <c r="F276" s="3"/>
      <c r="G276" s="3"/>
      <c r="H276" s="12"/>
      <c r="I276" s="3"/>
      <c r="J276" s="3"/>
      <c r="K276" s="3"/>
      <c r="L276" s="3"/>
      <c r="M276" s="3"/>
    </row>
    <row r="277" spans="1:13">
      <c r="A277" s="3"/>
      <c r="B277" s="3"/>
      <c r="C277" s="3"/>
      <c r="D277" s="3"/>
      <c r="E277" s="3"/>
      <c r="F277" s="3"/>
      <c r="G277" s="3"/>
      <c r="H277" s="12"/>
      <c r="I277" s="3"/>
      <c r="J277" s="3"/>
      <c r="K277" s="3"/>
      <c r="L277" s="3"/>
      <c r="M277" s="3"/>
    </row>
    <row r="278" spans="1:13">
      <c r="A278" s="3"/>
      <c r="B278" s="3"/>
      <c r="C278" s="3"/>
      <c r="D278" s="3"/>
      <c r="E278" s="3"/>
      <c r="F278" s="3"/>
      <c r="G278" s="3"/>
      <c r="H278" s="12"/>
      <c r="I278" s="3"/>
      <c r="J278" s="3"/>
      <c r="K278" s="3"/>
      <c r="L278" s="3"/>
      <c r="M278" s="3"/>
    </row>
    <row r="279" spans="1:13">
      <c r="A279" s="3"/>
      <c r="B279" s="3"/>
      <c r="C279" s="3"/>
      <c r="D279" s="3"/>
      <c r="E279" s="3"/>
      <c r="F279" s="3"/>
      <c r="G279" s="3"/>
      <c r="H279" s="12"/>
      <c r="I279" s="3"/>
      <c r="J279" s="3"/>
      <c r="K279" s="3"/>
      <c r="L279" s="3"/>
      <c r="M279" s="3"/>
    </row>
    <row r="280" spans="1:13">
      <c r="A280" s="3"/>
      <c r="B280" s="3"/>
      <c r="C280" s="3"/>
      <c r="D280" s="3"/>
      <c r="E280" s="3"/>
      <c r="F280" s="3"/>
      <c r="G280" s="3"/>
      <c r="H280" s="12"/>
      <c r="I280" s="3"/>
      <c r="J280" s="3"/>
      <c r="K280" s="3"/>
      <c r="L280" s="3"/>
      <c r="M280" s="3"/>
    </row>
    <row r="281" spans="1:13">
      <c r="A281" s="3"/>
      <c r="B281" s="3"/>
      <c r="C281" s="3"/>
      <c r="D281" s="3"/>
      <c r="E281" s="3"/>
      <c r="F281" s="3"/>
      <c r="G281" s="3"/>
      <c r="H281" s="12"/>
      <c r="I281" s="3"/>
      <c r="J281" s="3"/>
      <c r="K281" s="3"/>
      <c r="L281" s="3"/>
      <c r="M281" s="3"/>
    </row>
    <row r="282" spans="1:13">
      <c r="A282" s="3"/>
      <c r="B282" s="3"/>
      <c r="C282" s="3"/>
      <c r="D282" s="3"/>
      <c r="E282" s="3"/>
      <c r="F282" s="3"/>
      <c r="G282" s="3"/>
      <c r="H282" s="12"/>
      <c r="I282" s="3"/>
      <c r="J282" s="3"/>
      <c r="K282" s="3"/>
      <c r="L282" s="3"/>
      <c r="M282" s="3"/>
    </row>
    <row r="283" spans="1:13">
      <c r="A283" s="3"/>
      <c r="B283" s="3"/>
      <c r="C283" s="3"/>
      <c r="D283" s="3"/>
      <c r="E283" s="3"/>
      <c r="F283" s="3"/>
      <c r="G283" s="3"/>
      <c r="H283" s="12"/>
      <c r="I283" s="3"/>
      <c r="J283" s="3"/>
      <c r="K283" s="3"/>
      <c r="L283" s="3"/>
      <c r="M283" s="3"/>
    </row>
    <row r="284" spans="1:13">
      <c r="A284" s="3"/>
      <c r="B284" s="3"/>
      <c r="C284" s="3"/>
      <c r="D284" s="3"/>
      <c r="E284" s="3"/>
      <c r="F284" s="3"/>
      <c r="G284" s="3"/>
      <c r="H284" s="12"/>
      <c r="I284" s="3"/>
      <c r="J284" s="3"/>
      <c r="K284" s="3"/>
      <c r="L284" s="3"/>
      <c r="M284" s="3"/>
    </row>
    <row r="285" spans="1:13">
      <c r="A285" s="3"/>
      <c r="B285" s="3"/>
      <c r="C285" s="3"/>
      <c r="D285" s="3"/>
      <c r="E285" s="3"/>
      <c r="F285" s="3"/>
      <c r="G285" s="3"/>
      <c r="H285" s="12"/>
      <c r="I285" s="3"/>
      <c r="J285" s="3"/>
      <c r="K285" s="3"/>
      <c r="L285" s="3"/>
      <c r="M285" s="3"/>
    </row>
    <row r="286" spans="1:13">
      <c r="A286" s="3"/>
      <c r="B286" s="3"/>
      <c r="C286" s="3"/>
      <c r="D286" s="3"/>
      <c r="E286" s="3"/>
      <c r="F286" s="3"/>
      <c r="G286" s="3"/>
      <c r="H286" s="12"/>
      <c r="I286" s="3"/>
      <c r="J286" s="3"/>
      <c r="K286" s="3"/>
      <c r="L286" s="3"/>
      <c r="M286" s="3"/>
    </row>
    <row r="287" spans="1:13">
      <c r="A287" s="3"/>
      <c r="B287" s="3"/>
      <c r="C287" s="3"/>
      <c r="D287" s="3"/>
      <c r="E287" s="3"/>
      <c r="F287" s="3"/>
      <c r="G287" s="3"/>
      <c r="H287" s="12"/>
      <c r="I287" s="3"/>
      <c r="J287" s="3"/>
      <c r="K287" s="3"/>
      <c r="L287" s="3"/>
      <c r="M287" s="3"/>
    </row>
    <row r="288" spans="1:13">
      <c r="A288" s="3"/>
      <c r="B288" s="3"/>
      <c r="C288" s="3"/>
      <c r="D288" s="3"/>
      <c r="E288" s="3"/>
      <c r="F288" s="3"/>
      <c r="G288" s="3"/>
      <c r="H288" s="12"/>
      <c r="I288" s="3"/>
      <c r="J288" s="3"/>
      <c r="K288" s="3"/>
      <c r="L288" s="3"/>
      <c r="M288" s="3"/>
    </row>
    <row r="289" spans="1:13">
      <c r="A289" s="3"/>
      <c r="B289" s="3"/>
      <c r="C289" s="3"/>
      <c r="D289" s="3"/>
      <c r="E289" s="3"/>
      <c r="F289" s="3"/>
      <c r="G289" s="3"/>
      <c r="H289" s="12"/>
      <c r="I289" s="3"/>
      <c r="J289" s="3"/>
      <c r="K289" s="3"/>
      <c r="L289" s="3"/>
      <c r="M289" s="3"/>
    </row>
    <row r="290" spans="1:13">
      <c r="A290" s="3"/>
      <c r="B290" s="3"/>
      <c r="C290" s="3"/>
      <c r="D290" s="3"/>
      <c r="E290" s="3"/>
      <c r="F290" s="3"/>
      <c r="G290" s="3"/>
      <c r="H290" s="12"/>
      <c r="I290" s="3"/>
      <c r="J290" s="3"/>
      <c r="K290" s="3"/>
      <c r="L290" s="3"/>
      <c r="M290" s="3"/>
    </row>
    <row r="291" spans="1:13">
      <c r="A291" s="3"/>
      <c r="B291" s="3"/>
      <c r="C291" s="3"/>
      <c r="D291" s="3"/>
      <c r="E291" s="3"/>
      <c r="F291" s="3"/>
      <c r="G291" s="3"/>
      <c r="H291" s="12"/>
      <c r="I291" s="3"/>
      <c r="J291" s="3"/>
      <c r="K291" s="3"/>
      <c r="L291" s="3"/>
      <c r="M291" s="3"/>
    </row>
    <row r="292" spans="1:13">
      <c r="A292" s="3"/>
      <c r="B292" s="3"/>
      <c r="C292" s="3"/>
      <c r="D292" s="3"/>
      <c r="E292" s="3"/>
      <c r="F292" s="3"/>
      <c r="G292" s="3"/>
      <c r="H292" s="12"/>
      <c r="I292" s="3"/>
      <c r="J292" s="3"/>
      <c r="K292" s="3"/>
      <c r="L292" s="3"/>
      <c r="M292" s="3"/>
    </row>
    <row r="293" spans="1:13">
      <c r="A293" s="3"/>
      <c r="B293" s="3"/>
      <c r="C293" s="3"/>
      <c r="D293" s="3"/>
      <c r="E293" s="3"/>
      <c r="F293" s="3"/>
      <c r="G293" s="3"/>
      <c r="H293" s="12"/>
      <c r="I293" s="3"/>
      <c r="J293" s="3"/>
      <c r="K293" s="3"/>
      <c r="L293" s="3"/>
      <c r="M293" s="3"/>
    </row>
    <row r="294" spans="1:13">
      <c r="A294" s="3"/>
      <c r="B294" s="3"/>
      <c r="C294" s="3"/>
      <c r="D294" s="3"/>
      <c r="E294" s="3"/>
      <c r="F294" s="3"/>
      <c r="G294" s="3"/>
      <c r="H294" s="12"/>
      <c r="I294" s="3"/>
      <c r="J294" s="3"/>
      <c r="K294" s="3"/>
      <c r="L294" s="3"/>
      <c r="M294" s="3"/>
    </row>
    <row r="295" spans="1:13">
      <c r="A295" s="3"/>
      <c r="B295" s="3"/>
      <c r="C295" s="3"/>
      <c r="D295" s="3"/>
      <c r="E295" s="3"/>
      <c r="F295" s="3"/>
      <c r="G295" s="3"/>
      <c r="H295" s="12"/>
      <c r="I295" s="3"/>
      <c r="J295" s="3"/>
      <c r="K295" s="3"/>
      <c r="L295" s="3"/>
      <c r="M295" s="3"/>
    </row>
    <row r="296" spans="1:13">
      <c r="A296" s="3"/>
      <c r="B296" s="3"/>
      <c r="C296" s="3"/>
      <c r="D296" s="3"/>
      <c r="E296" s="3"/>
      <c r="F296" s="3"/>
      <c r="G296" s="3"/>
      <c r="H296" s="12"/>
      <c r="I296" s="3"/>
      <c r="J296" s="3"/>
      <c r="K296" s="3"/>
      <c r="L296" s="3"/>
      <c r="M296" s="3"/>
    </row>
    <row r="297" spans="1:13">
      <c r="A297" s="3"/>
      <c r="B297" s="3"/>
      <c r="C297" s="3"/>
      <c r="D297" s="3"/>
      <c r="E297" s="3"/>
      <c r="F297" s="3"/>
      <c r="G297" s="3"/>
      <c r="H297" s="12"/>
      <c r="I297" s="3"/>
      <c r="J297" s="3"/>
      <c r="K297" s="3"/>
      <c r="L297" s="3"/>
      <c r="M297" s="3"/>
    </row>
    <row r="298" spans="1:13">
      <c r="A298" s="3"/>
      <c r="B298" s="3"/>
      <c r="C298" s="3"/>
      <c r="D298" s="3"/>
      <c r="E298" s="3"/>
      <c r="F298" s="3"/>
      <c r="G298" s="3"/>
      <c r="H298" s="12"/>
      <c r="I298" s="3"/>
      <c r="J298" s="3"/>
      <c r="K298" s="3"/>
      <c r="L298" s="3"/>
      <c r="M298" s="3"/>
    </row>
    <row r="299" spans="1:13">
      <c r="A299" s="3"/>
      <c r="B299" s="3"/>
      <c r="C299" s="3"/>
      <c r="D299" s="3"/>
      <c r="E299" s="3"/>
      <c r="F299" s="3"/>
      <c r="G299" s="3"/>
      <c r="H299" s="12"/>
      <c r="I299" s="3"/>
      <c r="J299" s="3"/>
      <c r="K299" s="3"/>
      <c r="L299" s="3"/>
      <c r="M299" s="3"/>
    </row>
    <row r="300" spans="1:13">
      <c r="A300" s="3"/>
      <c r="B300" s="3"/>
      <c r="C300" s="3"/>
      <c r="D300" s="3"/>
      <c r="E300" s="3"/>
      <c r="F300" s="3"/>
      <c r="G300" s="3"/>
      <c r="H300" s="12"/>
      <c r="I300" s="3"/>
      <c r="J300" s="3"/>
      <c r="K300" s="3"/>
      <c r="L300" s="3"/>
      <c r="M300" s="3"/>
    </row>
    <row r="301" spans="1:13">
      <c r="A301" s="3"/>
      <c r="B301" s="3"/>
      <c r="C301" s="3"/>
      <c r="D301" s="3"/>
      <c r="E301" s="3"/>
      <c r="F301" s="3"/>
      <c r="G301" s="3"/>
      <c r="H301" s="12"/>
      <c r="I301" s="3"/>
      <c r="J301" s="3"/>
      <c r="K301" s="3"/>
      <c r="L301" s="3"/>
      <c r="M301" s="3"/>
    </row>
    <row r="302" spans="1:13">
      <c r="A302" s="3"/>
      <c r="B302" s="3"/>
      <c r="C302" s="3"/>
      <c r="D302" s="3"/>
      <c r="E302" s="3"/>
      <c r="F302" s="3"/>
      <c r="G302" s="3"/>
      <c r="H302" s="12"/>
      <c r="I302" s="3"/>
      <c r="J302" s="3"/>
      <c r="K302" s="3"/>
      <c r="L302" s="3"/>
      <c r="M302" s="3"/>
    </row>
    <row r="303" spans="1:13">
      <c r="A303" s="3"/>
      <c r="B303" s="3"/>
      <c r="C303" s="3"/>
      <c r="D303" s="3"/>
      <c r="E303" s="3"/>
      <c r="F303" s="3"/>
      <c r="G303" s="3"/>
      <c r="H303" s="12"/>
      <c r="I303" s="3"/>
      <c r="J303" s="3"/>
      <c r="K303" s="3"/>
      <c r="L303" s="3"/>
      <c r="M303" s="3"/>
    </row>
    <row r="304" spans="1:13">
      <c r="A304" s="3"/>
      <c r="B304" s="3"/>
      <c r="C304" s="3"/>
      <c r="D304" s="3"/>
      <c r="E304" s="3"/>
      <c r="F304" s="3"/>
      <c r="G304" s="3"/>
      <c r="H304" s="12"/>
      <c r="I304" s="3"/>
      <c r="J304" s="3"/>
      <c r="K304" s="3"/>
      <c r="L304" s="3"/>
      <c r="M304" s="3"/>
    </row>
    <row r="305" spans="1:13">
      <c r="A305" s="3"/>
      <c r="B305" s="3"/>
      <c r="C305" s="3"/>
      <c r="D305" s="3"/>
      <c r="E305" s="3"/>
      <c r="F305" s="3"/>
      <c r="G305" s="3"/>
      <c r="H305" s="12"/>
      <c r="I305" s="3"/>
      <c r="J305" s="3"/>
      <c r="K305" s="3"/>
      <c r="L305" s="3"/>
      <c r="M305" s="3"/>
    </row>
    <row r="306" spans="1:13">
      <c r="A306" s="3"/>
      <c r="B306" s="3"/>
      <c r="C306" s="3"/>
      <c r="D306" s="3"/>
      <c r="E306" s="3"/>
      <c r="F306" s="3"/>
      <c r="G306" s="3"/>
      <c r="H306" s="12"/>
      <c r="I306" s="3"/>
      <c r="J306" s="3"/>
      <c r="K306" s="3"/>
      <c r="L306" s="3"/>
      <c r="M306" s="3"/>
    </row>
    <row r="307" spans="1:13">
      <c r="A307" s="3"/>
      <c r="B307" s="3"/>
      <c r="C307" s="3"/>
      <c r="D307" s="3"/>
      <c r="E307" s="3"/>
      <c r="F307" s="3"/>
      <c r="G307" s="3"/>
      <c r="H307" s="12"/>
      <c r="I307" s="3"/>
      <c r="J307" s="3"/>
      <c r="K307" s="3"/>
      <c r="L307" s="3"/>
      <c r="M307" s="3"/>
    </row>
    <row r="308" spans="1:13">
      <c r="A308" s="3"/>
      <c r="B308" s="3"/>
      <c r="C308" s="3"/>
      <c r="D308" s="3"/>
      <c r="E308" s="3"/>
      <c r="F308" s="3"/>
      <c r="G308" s="3"/>
      <c r="H308" s="12"/>
      <c r="I308" s="3"/>
      <c r="J308" s="3"/>
      <c r="K308" s="3"/>
      <c r="L308" s="3"/>
      <c r="M308" s="3"/>
    </row>
    <row r="309" spans="1:13">
      <c r="A309" s="3"/>
      <c r="B309" s="3"/>
      <c r="C309" s="3"/>
      <c r="D309" s="3"/>
      <c r="E309" s="3"/>
      <c r="F309" s="3"/>
      <c r="G309" s="3"/>
      <c r="H309" s="12"/>
      <c r="I309" s="3"/>
      <c r="J309" s="3"/>
      <c r="K309" s="3"/>
      <c r="L309" s="3"/>
      <c r="M309" s="3"/>
    </row>
    <row r="310" spans="1:13">
      <c r="A310" s="3"/>
      <c r="B310" s="3"/>
      <c r="C310" s="3"/>
      <c r="D310" s="3"/>
      <c r="E310" s="3"/>
      <c r="F310" s="3"/>
      <c r="G310" s="3"/>
      <c r="H310" s="12"/>
      <c r="I310" s="3"/>
      <c r="J310" s="3"/>
      <c r="K310" s="3"/>
      <c r="L310" s="3"/>
      <c r="M310" s="3"/>
    </row>
    <row r="311" spans="1:13">
      <c r="A311" s="3"/>
      <c r="B311" s="3"/>
      <c r="C311" s="3"/>
      <c r="D311" s="3"/>
      <c r="E311" s="3"/>
      <c r="F311" s="3"/>
      <c r="G311" s="3"/>
      <c r="H311" s="12"/>
      <c r="I311" s="3"/>
      <c r="J311" s="3"/>
      <c r="K311" s="3"/>
      <c r="L311" s="3"/>
      <c r="M311" s="3"/>
    </row>
    <row r="312" spans="1:13">
      <c r="A312" s="3"/>
      <c r="B312" s="3"/>
      <c r="C312" s="3"/>
      <c r="D312" s="3"/>
      <c r="E312" s="3"/>
      <c r="F312" s="3"/>
      <c r="G312" s="3"/>
      <c r="H312" s="12"/>
      <c r="I312" s="3"/>
      <c r="J312" s="3"/>
      <c r="K312" s="3"/>
      <c r="L312" s="3"/>
      <c r="M312" s="3"/>
    </row>
    <row r="313" spans="1:13">
      <c r="A313" s="3"/>
      <c r="B313" s="3"/>
      <c r="C313" s="3"/>
      <c r="D313" s="3"/>
      <c r="E313" s="3"/>
      <c r="F313" s="3"/>
      <c r="G313" s="3"/>
      <c r="H313" s="12"/>
      <c r="I313" s="3"/>
      <c r="J313" s="3"/>
      <c r="K313" s="3"/>
      <c r="L313" s="3"/>
      <c r="M313" s="3"/>
    </row>
    <row r="314" spans="1:13">
      <c r="A314" s="3"/>
      <c r="B314" s="3"/>
      <c r="C314" s="3"/>
      <c r="D314" s="3"/>
      <c r="E314" s="3"/>
      <c r="F314" s="3"/>
      <c r="G314" s="3"/>
      <c r="H314" s="12"/>
      <c r="I314" s="3"/>
      <c r="J314" s="3"/>
      <c r="K314" s="3"/>
      <c r="L314" s="3"/>
      <c r="M314" s="3"/>
    </row>
    <row r="315" spans="1:13">
      <c r="A315" s="3"/>
      <c r="B315" s="3"/>
      <c r="C315" s="3"/>
      <c r="D315" s="3"/>
      <c r="E315" s="3"/>
      <c r="F315" s="3"/>
      <c r="G315" s="3"/>
      <c r="H315" s="12"/>
      <c r="I315" s="3"/>
      <c r="J315" s="3"/>
      <c r="K315" s="3"/>
      <c r="L315" s="3"/>
      <c r="M315" s="3"/>
    </row>
    <row r="316" spans="1:13">
      <c r="A316" s="3"/>
      <c r="B316" s="3"/>
      <c r="C316" s="3"/>
      <c r="D316" s="3"/>
      <c r="E316" s="3"/>
      <c r="F316" s="3"/>
      <c r="G316" s="3"/>
      <c r="H316" s="12"/>
      <c r="I316" s="3"/>
      <c r="J316" s="3"/>
      <c r="K316" s="3"/>
      <c r="L316" s="3"/>
      <c r="M316" s="3"/>
    </row>
    <row r="317" spans="1:13">
      <c r="A317" s="3"/>
      <c r="B317" s="3"/>
      <c r="C317" s="3"/>
      <c r="D317" s="3"/>
      <c r="E317" s="3"/>
      <c r="F317" s="3"/>
      <c r="G317" s="3"/>
      <c r="H317" s="12"/>
      <c r="I317" s="3"/>
      <c r="J317" s="3"/>
      <c r="K317" s="3"/>
      <c r="L317" s="3"/>
      <c r="M317" s="3"/>
    </row>
    <row r="318" spans="1:13">
      <c r="A318" s="3"/>
      <c r="B318" s="3"/>
      <c r="C318" s="3"/>
      <c r="D318" s="3"/>
      <c r="E318" s="3"/>
      <c r="F318" s="3"/>
      <c r="G318" s="3"/>
      <c r="H318" s="12"/>
      <c r="I318" s="3"/>
      <c r="J318" s="3"/>
      <c r="K318" s="3"/>
      <c r="L318" s="3"/>
      <c r="M318" s="3"/>
    </row>
    <row r="319" spans="1:13">
      <c r="A319" s="3"/>
      <c r="B319" s="3"/>
      <c r="C319" s="3"/>
      <c r="D319" s="3"/>
      <c r="E319" s="3"/>
      <c r="F319" s="3"/>
      <c r="G319" s="3"/>
      <c r="H319" s="12"/>
      <c r="I319" s="3"/>
      <c r="J319" s="3"/>
      <c r="K319" s="3"/>
      <c r="L319" s="3"/>
      <c r="M319" s="3"/>
    </row>
    <row r="320" spans="1:13">
      <c r="A320" s="3"/>
      <c r="B320" s="3"/>
      <c r="C320" s="3"/>
      <c r="D320" s="3"/>
      <c r="E320" s="3"/>
      <c r="F320" s="3"/>
      <c r="G320" s="3"/>
      <c r="H320" s="12"/>
      <c r="I320" s="3"/>
      <c r="J320" s="3"/>
      <c r="K320" s="3"/>
      <c r="L320" s="3"/>
      <c r="M320" s="3"/>
    </row>
    <row r="321" spans="1:13">
      <c r="A321" s="3"/>
      <c r="B321" s="3"/>
      <c r="C321" s="3"/>
      <c r="D321" s="3"/>
      <c r="E321" s="3"/>
      <c r="F321" s="3"/>
      <c r="G321" s="3"/>
      <c r="H321" s="12"/>
      <c r="I321" s="3"/>
      <c r="J321" s="3"/>
      <c r="K321" s="3"/>
      <c r="L321" s="3"/>
      <c r="M321" s="3"/>
    </row>
    <row r="322" spans="1:13">
      <c r="A322" s="3"/>
      <c r="B322" s="3"/>
      <c r="C322" s="3"/>
      <c r="D322" s="3"/>
      <c r="E322" s="3"/>
      <c r="F322" s="3"/>
      <c r="G322" s="3"/>
      <c r="H322" s="12"/>
      <c r="I322" s="3"/>
      <c r="J322" s="3"/>
      <c r="K322" s="3"/>
      <c r="L322" s="3"/>
      <c r="M322" s="3"/>
    </row>
    <row r="323" spans="1:13">
      <c r="A323" s="3"/>
      <c r="B323" s="3"/>
      <c r="C323" s="3"/>
      <c r="D323" s="3"/>
      <c r="E323" s="3"/>
      <c r="F323" s="3"/>
      <c r="G323" s="3"/>
      <c r="H323" s="12"/>
      <c r="I323" s="3"/>
      <c r="J323" s="3"/>
      <c r="K323" s="3"/>
      <c r="L323" s="3"/>
      <c r="M323" s="3"/>
    </row>
    <row r="324" spans="1:13">
      <c r="A324" s="3"/>
      <c r="B324" s="3"/>
      <c r="C324" s="3"/>
      <c r="D324" s="3"/>
      <c r="E324" s="3"/>
      <c r="F324" s="3"/>
      <c r="G324" s="3"/>
      <c r="H324" s="12"/>
      <c r="I324" s="3"/>
      <c r="J324" s="3"/>
      <c r="K324" s="3"/>
      <c r="L324" s="3"/>
      <c r="M324" s="3"/>
    </row>
    <row r="325" spans="1:13">
      <c r="A325" s="3"/>
      <c r="B325" s="3"/>
      <c r="C325" s="3"/>
      <c r="D325" s="3"/>
      <c r="E325" s="3"/>
      <c r="F325" s="3"/>
      <c r="G325" s="3"/>
      <c r="H325" s="12"/>
      <c r="I325" s="3"/>
      <c r="J325" s="3"/>
      <c r="K325" s="3"/>
      <c r="L325" s="3"/>
      <c r="M325" s="3"/>
    </row>
    <row r="326" spans="1:13">
      <c r="A326" s="3"/>
      <c r="B326" s="3"/>
      <c r="C326" s="3"/>
      <c r="D326" s="3"/>
      <c r="E326" s="3"/>
      <c r="F326" s="3"/>
      <c r="G326" s="3"/>
      <c r="H326" s="12"/>
      <c r="I326" s="3"/>
      <c r="J326" s="3"/>
      <c r="K326" s="3"/>
      <c r="L326" s="3"/>
      <c r="M326" s="3"/>
    </row>
    <row r="327" spans="1:13">
      <c r="A327" s="3"/>
      <c r="B327" s="3"/>
      <c r="C327" s="3"/>
      <c r="D327" s="3"/>
      <c r="E327" s="3"/>
      <c r="F327" s="3"/>
      <c r="G327" s="3"/>
      <c r="H327" s="12"/>
      <c r="I327" s="3"/>
      <c r="J327" s="3"/>
      <c r="K327" s="3"/>
      <c r="L327" s="3"/>
      <c r="M327" s="3"/>
    </row>
    <row r="328" spans="1:13">
      <c r="A328" s="3"/>
      <c r="B328" s="3"/>
      <c r="C328" s="3"/>
      <c r="D328" s="3"/>
      <c r="E328" s="3"/>
      <c r="F328" s="3"/>
      <c r="G328" s="3"/>
      <c r="H328" s="12"/>
      <c r="I328" s="3"/>
      <c r="J328" s="3"/>
      <c r="K328" s="3"/>
      <c r="L328" s="3"/>
      <c r="M328" s="3"/>
    </row>
    <row r="329" spans="1:13">
      <c r="A329" s="3"/>
      <c r="B329" s="3"/>
      <c r="C329" s="3"/>
      <c r="D329" s="3"/>
      <c r="E329" s="3"/>
      <c r="F329" s="3"/>
      <c r="G329" s="3"/>
      <c r="H329" s="12"/>
      <c r="I329" s="3"/>
      <c r="J329" s="3"/>
      <c r="K329" s="3"/>
      <c r="L329" s="3"/>
      <c r="M329" s="3"/>
    </row>
    <row r="330" spans="1:13">
      <c r="A330" s="3"/>
      <c r="B330" s="3"/>
      <c r="C330" s="3"/>
      <c r="D330" s="3"/>
      <c r="E330" s="3"/>
      <c r="F330" s="3"/>
      <c r="G330" s="3"/>
      <c r="H330" s="12"/>
      <c r="I330" s="3"/>
      <c r="J330" s="3"/>
      <c r="K330" s="3"/>
      <c r="L330" s="3"/>
      <c r="M330" s="3"/>
    </row>
    <row r="331" spans="1:13">
      <c r="A331" s="3"/>
      <c r="B331" s="3"/>
      <c r="C331" s="3"/>
      <c r="D331" s="3"/>
      <c r="E331" s="3"/>
      <c r="F331" s="3"/>
      <c r="G331" s="3"/>
      <c r="H331" s="12"/>
      <c r="I331" s="3"/>
      <c r="J331" s="3"/>
      <c r="K331" s="3"/>
      <c r="L331" s="3"/>
      <c r="M331" s="3"/>
    </row>
    <row r="332" spans="1:13">
      <c r="A332" s="3"/>
      <c r="B332" s="3"/>
      <c r="C332" s="3"/>
      <c r="D332" s="3"/>
      <c r="E332" s="3"/>
      <c r="F332" s="3"/>
      <c r="G332" s="3"/>
      <c r="H332" s="12"/>
      <c r="I332" s="3"/>
      <c r="J332" s="3"/>
      <c r="K332" s="3"/>
      <c r="L332" s="3"/>
      <c r="M332" s="3"/>
    </row>
    <row r="333" spans="1:13">
      <c r="A333" s="3"/>
      <c r="B333" s="3"/>
      <c r="C333" s="3"/>
      <c r="D333" s="3"/>
      <c r="E333" s="3"/>
      <c r="F333" s="3"/>
      <c r="G333" s="3"/>
      <c r="H333" s="12"/>
      <c r="I333" s="3"/>
      <c r="J333" s="3"/>
      <c r="K333" s="3"/>
      <c r="L333" s="3"/>
      <c r="M333" s="3"/>
    </row>
    <row r="334" spans="1:13">
      <c r="A334" s="3"/>
      <c r="B334" s="3"/>
      <c r="C334" s="3"/>
      <c r="D334" s="3"/>
      <c r="E334" s="3"/>
      <c r="F334" s="3"/>
      <c r="G334" s="3"/>
      <c r="H334" s="12"/>
      <c r="I334" s="3"/>
      <c r="J334" s="3"/>
      <c r="K334" s="3"/>
      <c r="L334" s="3"/>
      <c r="M334" s="3"/>
    </row>
    <row r="335" spans="1:13">
      <c r="A335" s="3"/>
      <c r="B335" s="3"/>
      <c r="C335" s="3"/>
      <c r="D335" s="3"/>
      <c r="E335" s="3"/>
      <c r="F335" s="3"/>
      <c r="G335" s="3"/>
      <c r="H335" s="12"/>
      <c r="I335" s="3"/>
      <c r="J335" s="3"/>
      <c r="K335" s="3"/>
      <c r="L335" s="3"/>
      <c r="M335" s="3"/>
    </row>
    <row r="336" spans="1:13">
      <c r="A336" s="3"/>
      <c r="B336" s="3"/>
      <c r="C336" s="3"/>
      <c r="D336" s="3"/>
      <c r="E336" s="3"/>
      <c r="F336" s="3"/>
      <c r="G336" s="3"/>
      <c r="H336" s="12"/>
      <c r="I336" s="3"/>
      <c r="J336" s="3"/>
      <c r="K336" s="3"/>
      <c r="L336" s="3"/>
      <c r="M336" s="3"/>
    </row>
    <row r="337" spans="1:13">
      <c r="A337" s="3"/>
      <c r="B337" s="3"/>
      <c r="C337" s="3"/>
      <c r="D337" s="3"/>
      <c r="E337" s="3"/>
      <c r="F337" s="3"/>
      <c r="G337" s="3"/>
      <c r="H337" s="12"/>
      <c r="I337" s="3"/>
      <c r="J337" s="3"/>
      <c r="K337" s="3"/>
      <c r="L337" s="3"/>
      <c r="M337" s="3"/>
    </row>
    <row r="338" spans="1:13">
      <c r="A338" s="3"/>
      <c r="B338" s="3"/>
      <c r="C338" s="3"/>
      <c r="D338" s="3"/>
      <c r="E338" s="3"/>
      <c r="F338" s="3"/>
      <c r="G338" s="3"/>
      <c r="H338" s="12"/>
      <c r="I338" s="3"/>
      <c r="J338" s="3"/>
      <c r="K338" s="3"/>
      <c r="L338" s="3"/>
      <c r="M338" s="3"/>
    </row>
    <row r="339" spans="1:13">
      <c r="A339" s="3"/>
      <c r="B339" s="3"/>
      <c r="C339" s="3"/>
      <c r="D339" s="3"/>
      <c r="E339" s="3"/>
      <c r="F339" s="3"/>
      <c r="G339" s="3"/>
      <c r="H339" s="12"/>
      <c r="I339" s="3"/>
      <c r="J339" s="3"/>
      <c r="K339" s="3"/>
      <c r="L339" s="3"/>
      <c r="M339" s="3"/>
    </row>
    <row r="340" spans="1:13">
      <c r="A340" s="3"/>
      <c r="B340" s="3"/>
      <c r="C340" s="3"/>
      <c r="D340" s="3"/>
      <c r="E340" s="3"/>
      <c r="F340" s="3"/>
      <c r="G340" s="3"/>
      <c r="H340" s="12"/>
      <c r="I340" s="3"/>
      <c r="J340" s="3"/>
      <c r="K340" s="3"/>
      <c r="L340" s="3"/>
      <c r="M340" s="3"/>
    </row>
    <row r="341" spans="1:13">
      <c r="A341" s="3"/>
      <c r="B341" s="3"/>
      <c r="C341" s="3"/>
      <c r="D341" s="3"/>
      <c r="E341" s="3"/>
      <c r="F341" s="3"/>
      <c r="G341" s="3"/>
      <c r="H341" s="12"/>
      <c r="I341" s="3"/>
      <c r="J341" s="3"/>
      <c r="K341" s="3"/>
      <c r="L341" s="3"/>
      <c r="M341" s="3"/>
    </row>
    <row r="342" spans="1:13">
      <c r="A342" s="3"/>
      <c r="B342" s="3"/>
      <c r="C342" s="3"/>
      <c r="D342" s="3"/>
      <c r="E342" s="3"/>
      <c r="F342" s="3"/>
      <c r="G342" s="3"/>
      <c r="H342" s="12"/>
      <c r="I342" s="3"/>
      <c r="J342" s="3"/>
      <c r="K342" s="3"/>
      <c r="L342" s="3"/>
      <c r="M342" s="3"/>
    </row>
    <row r="343" spans="1:13">
      <c r="A343" s="3"/>
      <c r="B343" s="3"/>
      <c r="C343" s="3"/>
      <c r="D343" s="3"/>
      <c r="E343" s="3"/>
      <c r="F343" s="3"/>
      <c r="G343" s="3"/>
      <c r="H343" s="12"/>
      <c r="I343" s="3"/>
      <c r="J343" s="3"/>
      <c r="K343" s="3"/>
      <c r="L343" s="3"/>
      <c r="M343" s="3"/>
    </row>
    <row r="344" spans="1:13">
      <c r="A344" s="3"/>
      <c r="B344" s="3"/>
      <c r="C344" s="3"/>
      <c r="D344" s="3"/>
      <c r="E344" s="3"/>
      <c r="F344" s="3"/>
      <c r="G344" s="3"/>
      <c r="H344" s="12"/>
      <c r="I344" s="3"/>
      <c r="J344" s="3"/>
      <c r="K344" s="3"/>
      <c r="L344" s="3"/>
      <c r="M344" s="3"/>
    </row>
    <row r="345" spans="1:13">
      <c r="A345" s="3"/>
      <c r="B345" s="3"/>
      <c r="C345" s="3"/>
      <c r="D345" s="3"/>
      <c r="E345" s="3"/>
      <c r="F345" s="3"/>
      <c r="G345" s="3"/>
      <c r="H345" s="12"/>
      <c r="I345" s="3"/>
      <c r="J345" s="3"/>
      <c r="K345" s="3"/>
      <c r="L345" s="3"/>
      <c r="M345" s="3"/>
    </row>
    <row r="346" spans="1:13">
      <c r="A346" s="3"/>
      <c r="B346" s="3"/>
      <c r="C346" s="3"/>
      <c r="D346" s="3"/>
      <c r="E346" s="3"/>
      <c r="F346" s="3"/>
      <c r="G346" s="3"/>
      <c r="H346" s="12"/>
      <c r="I346" s="3"/>
      <c r="J346" s="3"/>
      <c r="K346" s="3"/>
      <c r="L346" s="3"/>
      <c r="M346" s="3"/>
    </row>
    <row r="347" spans="1:13">
      <c r="A347" s="3"/>
      <c r="B347" s="3"/>
      <c r="C347" s="3"/>
      <c r="D347" s="3"/>
      <c r="E347" s="3"/>
      <c r="F347" s="3"/>
      <c r="G347" s="3"/>
      <c r="H347" s="12"/>
      <c r="I347" s="3"/>
      <c r="J347" s="3"/>
      <c r="K347" s="3"/>
      <c r="L347" s="3"/>
      <c r="M347" s="3"/>
    </row>
    <row r="348" spans="1:13">
      <c r="A348" s="3"/>
      <c r="B348" s="3"/>
      <c r="C348" s="3"/>
      <c r="D348" s="3"/>
      <c r="E348" s="3"/>
      <c r="F348" s="3"/>
      <c r="G348" s="3"/>
      <c r="H348" s="12"/>
      <c r="I348" s="3"/>
      <c r="J348" s="3"/>
      <c r="K348" s="3"/>
      <c r="L348" s="3"/>
      <c r="M348" s="3"/>
    </row>
    <row r="349" spans="1:13">
      <c r="A349" s="3"/>
      <c r="B349" s="3"/>
      <c r="C349" s="3"/>
      <c r="D349" s="3"/>
      <c r="E349" s="3"/>
      <c r="F349" s="3"/>
      <c r="G349" s="3"/>
      <c r="H349" s="12"/>
      <c r="I349" s="3"/>
      <c r="J349" s="3"/>
      <c r="K349" s="3"/>
      <c r="L349" s="3"/>
      <c r="M349" s="3"/>
    </row>
    <row r="350" spans="1:13">
      <c r="A350" s="3"/>
      <c r="B350" s="3"/>
      <c r="C350" s="3"/>
      <c r="D350" s="3"/>
      <c r="E350" s="3"/>
      <c r="F350" s="3"/>
      <c r="G350" s="3"/>
      <c r="H350" s="12"/>
      <c r="I350" s="3"/>
      <c r="J350" s="3"/>
      <c r="K350" s="3"/>
      <c r="L350" s="3"/>
      <c r="M350" s="3"/>
    </row>
    <row r="351" spans="1:13">
      <c r="A351" s="3"/>
      <c r="B351" s="3"/>
      <c r="C351" s="3"/>
      <c r="D351" s="3"/>
      <c r="E351" s="3"/>
      <c r="F351" s="3"/>
      <c r="G351" s="3"/>
      <c r="H351" s="12"/>
      <c r="I351" s="3"/>
      <c r="J351" s="3"/>
      <c r="K351" s="3"/>
      <c r="L351" s="3"/>
      <c r="M351" s="3"/>
    </row>
    <row r="352" spans="1:13">
      <c r="A352" s="3"/>
      <c r="B352" s="3"/>
      <c r="C352" s="3"/>
      <c r="D352" s="3"/>
      <c r="E352" s="3"/>
      <c r="F352" s="3"/>
      <c r="G352" s="3"/>
      <c r="H352" s="12"/>
      <c r="I352" s="3"/>
      <c r="J352" s="3"/>
      <c r="K352" s="3"/>
      <c r="L352" s="3"/>
      <c r="M352" s="3"/>
    </row>
    <row r="353" spans="1:13">
      <c r="A353" s="3"/>
      <c r="B353" s="3"/>
      <c r="C353" s="3"/>
      <c r="D353" s="3"/>
      <c r="E353" s="3"/>
      <c r="F353" s="3"/>
      <c r="G353" s="3"/>
      <c r="H353" s="12"/>
      <c r="I353" s="3"/>
      <c r="J353" s="3"/>
      <c r="K353" s="3"/>
      <c r="L353" s="3"/>
      <c r="M353" s="3"/>
    </row>
    <row r="354" spans="1:13">
      <c r="A354" s="3"/>
      <c r="B354" s="3"/>
      <c r="C354" s="3"/>
      <c r="D354" s="3"/>
      <c r="E354" s="3"/>
      <c r="F354" s="3"/>
      <c r="G354" s="3"/>
      <c r="H354" s="12"/>
      <c r="I354" s="3"/>
      <c r="J354" s="3"/>
      <c r="K354" s="3"/>
      <c r="L354" s="3"/>
      <c r="M354" s="3"/>
    </row>
    <row r="355" spans="1:13">
      <c r="A355" s="3"/>
      <c r="B355" s="3"/>
      <c r="C355" s="3"/>
      <c r="D355" s="3"/>
      <c r="E355" s="3"/>
      <c r="F355" s="3"/>
      <c r="G355" s="3"/>
      <c r="H355" s="12"/>
      <c r="I355" s="3"/>
      <c r="J355" s="3"/>
      <c r="K355" s="3"/>
      <c r="L355" s="3"/>
      <c r="M355" s="3"/>
    </row>
    <row r="356" spans="1:13">
      <c r="A356" s="3"/>
      <c r="B356" s="3"/>
      <c r="C356" s="3"/>
      <c r="D356" s="3"/>
      <c r="E356" s="3"/>
      <c r="F356" s="3"/>
      <c r="G356" s="3"/>
      <c r="H356" s="12"/>
      <c r="I356" s="3"/>
      <c r="J356" s="3"/>
      <c r="K356" s="3"/>
      <c r="L356" s="3"/>
      <c r="M356" s="3"/>
    </row>
    <row r="357" spans="1:13">
      <c r="A357" s="3"/>
      <c r="B357" s="3"/>
      <c r="C357" s="3"/>
      <c r="D357" s="3"/>
      <c r="E357" s="3"/>
      <c r="F357" s="3"/>
      <c r="G357" s="3"/>
      <c r="H357" s="12"/>
      <c r="I357" s="3"/>
      <c r="J357" s="3"/>
      <c r="K357" s="3"/>
      <c r="L357" s="3"/>
      <c r="M357" s="3"/>
    </row>
    <row r="358" spans="1:13">
      <c r="A358" s="3"/>
      <c r="B358" s="3"/>
      <c r="C358" s="3"/>
      <c r="D358" s="3"/>
      <c r="E358" s="3"/>
      <c r="F358" s="3"/>
      <c r="G358" s="3"/>
      <c r="H358" s="12"/>
      <c r="I358" s="3"/>
      <c r="J358" s="3"/>
      <c r="K358" s="3"/>
      <c r="L358" s="3"/>
      <c r="M358" s="3"/>
    </row>
    <row r="359" spans="1:13">
      <c r="A359" s="3"/>
      <c r="B359" s="3"/>
      <c r="C359" s="3"/>
      <c r="D359" s="3"/>
      <c r="E359" s="3"/>
      <c r="F359" s="3"/>
      <c r="G359" s="3"/>
      <c r="H359" s="12"/>
      <c r="I359" s="3"/>
      <c r="J359" s="3"/>
      <c r="K359" s="3"/>
      <c r="L359" s="3"/>
      <c r="M359" s="3"/>
    </row>
    <row r="360" spans="1:13">
      <c r="A360" s="3"/>
      <c r="B360" s="3"/>
      <c r="C360" s="3"/>
      <c r="D360" s="3"/>
      <c r="E360" s="3"/>
      <c r="F360" s="3"/>
      <c r="G360" s="3"/>
      <c r="H360" s="12"/>
      <c r="I360" s="3"/>
      <c r="J360" s="3"/>
      <c r="K360" s="3"/>
      <c r="L360" s="3"/>
      <c r="M360" s="3"/>
    </row>
    <row r="361" spans="1:13">
      <c r="A361" s="3"/>
      <c r="B361" s="3"/>
      <c r="C361" s="3"/>
      <c r="D361" s="3"/>
      <c r="E361" s="3"/>
      <c r="F361" s="3"/>
      <c r="G361" s="3"/>
      <c r="H361" s="12"/>
      <c r="I361" s="3"/>
      <c r="J361" s="3"/>
      <c r="K361" s="3"/>
      <c r="L361" s="3"/>
      <c r="M361" s="3"/>
    </row>
    <row r="362" spans="1:13">
      <c r="A362" s="3"/>
      <c r="B362" s="3"/>
      <c r="C362" s="3"/>
      <c r="D362" s="3"/>
      <c r="E362" s="3"/>
      <c r="F362" s="3"/>
      <c r="G362" s="3"/>
      <c r="H362" s="12"/>
      <c r="I362" s="3"/>
      <c r="J362" s="3"/>
      <c r="K362" s="3"/>
      <c r="L362" s="3"/>
      <c r="M362" s="3"/>
    </row>
    <row r="363" spans="1:13">
      <c r="A363" s="3"/>
      <c r="B363" s="3"/>
      <c r="C363" s="3"/>
      <c r="D363" s="3"/>
      <c r="E363" s="3"/>
      <c r="F363" s="3"/>
      <c r="G363" s="3"/>
      <c r="H363" s="12"/>
      <c r="I363" s="3"/>
      <c r="J363" s="3"/>
      <c r="K363" s="3"/>
      <c r="L363" s="3"/>
      <c r="M363" s="3"/>
    </row>
    <row r="364" spans="1:13">
      <c r="A364" s="3"/>
      <c r="B364" s="3"/>
      <c r="C364" s="3"/>
      <c r="D364" s="3"/>
      <c r="E364" s="3"/>
      <c r="F364" s="3"/>
      <c r="G364" s="3"/>
      <c r="H364" s="12"/>
      <c r="I364" s="3"/>
      <c r="J364" s="3"/>
      <c r="K364" s="3"/>
      <c r="L364" s="3"/>
      <c r="M364" s="3"/>
    </row>
    <row r="365" spans="1:13">
      <c r="A365" s="3"/>
      <c r="B365" s="3"/>
      <c r="C365" s="3"/>
      <c r="D365" s="3"/>
      <c r="E365" s="3"/>
      <c r="F365" s="3"/>
      <c r="G365" s="3"/>
      <c r="H365" s="12"/>
      <c r="I365" s="3"/>
      <c r="J365" s="3"/>
      <c r="K365" s="3"/>
      <c r="L365" s="3"/>
      <c r="M365" s="3"/>
    </row>
    <row r="366" spans="1:13">
      <c r="A366" s="3"/>
      <c r="B366" s="3"/>
      <c r="C366" s="3"/>
      <c r="D366" s="3"/>
      <c r="E366" s="3"/>
      <c r="F366" s="3"/>
      <c r="G366" s="3"/>
      <c r="H366" s="12"/>
      <c r="I366" s="3"/>
      <c r="J366" s="3"/>
      <c r="K366" s="3"/>
      <c r="L366" s="3"/>
      <c r="M366" s="3"/>
    </row>
    <row r="367" spans="1:13">
      <c r="A367" s="3"/>
      <c r="B367" s="3"/>
      <c r="C367" s="3"/>
      <c r="D367" s="3"/>
      <c r="E367" s="3"/>
      <c r="F367" s="3"/>
      <c r="G367" s="3"/>
      <c r="H367" s="12"/>
      <c r="I367" s="3"/>
      <c r="J367" s="3"/>
      <c r="K367" s="3"/>
      <c r="L367" s="3"/>
      <c r="M367" s="3"/>
    </row>
    <row r="368" spans="1:13">
      <c r="A368" s="3"/>
      <c r="B368" s="3"/>
      <c r="C368" s="3"/>
      <c r="D368" s="3"/>
      <c r="E368" s="3"/>
      <c r="F368" s="3"/>
      <c r="G368" s="3"/>
      <c r="H368" s="12"/>
      <c r="I368" s="3"/>
      <c r="J368" s="3"/>
      <c r="K368" s="3"/>
      <c r="L368" s="3"/>
      <c r="M368" s="3"/>
    </row>
    <row r="369" spans="1:13">
      <c r="A369" s="3"/>
      <c r="B369" s="3"/>
      <c r="C369" s="3"/>
      <c r="D369" s="3"/>
      <c r="E369" s="3"/>
      <c r="F369" s="3"/>
      <c r="G369" s="3"/>
      <c r="H369" s="12"/>
      <c r="I369" s="3"/>
      <c r="J369" s="3"/>
      <c r="K369" s="3"/>
      <c r="L369" s="3"/>
      <c r="M369" s="3"/>
    </row>
    <row r="370" spans="1:13">
      <c r="A370" s="3"/>
      <c r="B370" s="3"/>
      <c r="C370" s="3"/>
      <c r="D370" s="3"/>
      <c r="E370" s="3"/>
      <c r="F370" s="3"/>
      <c r="G370" s="3"/>
      <c r="H370" s="12"/>
      <c r="I370" s="3"/>
      <c r="J370" s="3"/>
      <c r="K370" s="3"/>
      <c r="L370" s="3"/>
      <c r="M370" s="3"/>
    </row>
    <row r="371" spans="1:13">
      <c r="A371" s="3"/>
      <c r="B371" s="3"/>
      <c r="C371" s="3"/>
      <c r="D371" s="3"/>
      <c r="E371" s="3"/>
      <c r="F371" s="3"/>
      <c r="G371" s="3"/>
      <c r="H371" s="12"/>
      <c r="I371" s="3"/>
      <c r="J371" s="3"/>
      <c r="K371" s="3"/>
      <c r="L371" s="3"/>
      <c r="M371" s="3"/>
    </row>
    <row r="372" spans="1:13">
      <c r="A372" s="3"/>
      <c r="B372" s="3"/>
      <c r="C372" s="3"/>
      <c r="D372" s="3"/>
      <c r="E372" s="3"/>
      <c r="F372" s="3"/>
      <c r="G372" s="3"/>
      <c r="H372" s="12"/>
      <c r="I372" s="3"/>
      <c r="J372" s="3"/>
      <c r="K372" s="3"/>
      <c r="L372" s="3"/>
      <c r="M372" s="3"/>
    </row>
    <row r="373" spans="1:13">
      <c r="A373" s="3"/>
      <c r="B373" s="3"/>
      <c r="C373" s="3"/>
      <c r="D373" s="3"/>
      <c r="E373" s="3"/>
      <c r="F373" s="3"/>
      <c r="G373" s="3"/>
      <c r="H373" s="12"/>
      <c r="I373" s="3"/>
      <c r="J373" s="3"/>
      <c r="K373" s="3"/>
      <c r="L373" s="3"/>
      <c r="M373" s="3"/>
    </row>
    <row r="374" spans="1:13">
      <c r="A374" s="3"/>
      <c r="B374" s="3"/>
      <c r="C374" s="3"/>
      <c r="D374" s="3"/>
      <c r="E374" s="3"/>
      <c r="F374" s="3"/>
      <c r="G374" s="3"/>
      <c r="H374" s="12"/>
      <c r="I374" s="3"/>
      <c r="J374" s="3"/>
      <c r="K374" s="3"/>
      <c r="L374" s="3"/>
      <c r="M374" s="3"/>
    </row>
    <row r="375" spans="1:13">
      <c r="A375" s="3"/>
      <c r="B375" s="3"/>
      <c r="C375" s="3"/>
      <c r="D375" s="3"/>
      <c r="E375" s="3"/>
      <c r="F375" s="3"/>
      <c r="G375" s="3"/>
      <c r="H375" s="12"/>
      <c r="I375" s="3"/>
      <c r="J375" s="3"/>
      <c r="K375" s="3"/>
      <c r="L375" s="3"/>
      <c r="M375" s="3"/>
    </row>
    <row r="376" spans="1:13">
      <c r="A376" s="3"/>
      <c r="B376" s="3"/>
      <c r="C376" s="3"/>
      <c r="D376" s="3"/>
      <c r="E376" s="3"/>
      <c r="F376" s="3"/>
      <c r="G376" s="3"/>
      <c r="H376" s="12"/>
      <c r="I376" s="3"/>
      <c r="J376" s="3"/>
      <c r="K376" s="3"/>
      <c r="L376" s="3"/>
      <c r="M376" s="3"/>
    </row>
    <row r="377" spans="1:13">
      <c r="A377" s="3"/>
      <c r="B377" s="3"/>
      <c r="C377" s="3"/>
      <c r="D377" s="3"/>
      <c r="E377" s="3"/>
      <c r="F377" s="3"/>
      <c r="G377" s="3"/>
      <c r="H377" s="12"/>
      <c r="I377" s="3"/>
      <c r="J377" s="3"/>
      <c r="K377" s="3"/>
      <c r="L377" s="3"/>
      <c r="M377" s="3"/>
    </row>
    <row r="378" spans="1:13">
      <c r="A378" s="3"/>
      <c r="B378" s="3"/>
      <c r="C378" s="3"/>
      <c r="D378" s="3"/>
      <c r="E378" s="3"/>
      <c r="F378" s="3"/>
      <c r="G378" s="3"/>
      <c r="H378" s="12"/>
      <c r="I378" s="3"/>
      <c r="J378" s="3"/>
      <c r="K378" s="3"/>
      <c r="L378" s="3"/>
      <c r="M378" s="3"/>
    </row>
    <row r="379" spans="1:13">
      <c r="A379" s="3"/>
      <c r="B379" s="3"/>
      <c r="C379" s="3"/>
      <c r="D379" s="3"/>
      <c r="E379" s="3"/>
      <c r="F379" s="3"/>
      <c r="G379" s="3"/>
      <c r="H379" s="12"/>
      <c r="I379" s="3"/>
      <c r="J379" s="3"/>
      <c r="K379" s="3"/>
      <c r="L379" s="3"/>
      <c r="M379" s="3"/>
    </row>
    <row r="380" spans="1:13">
      <c r="A380" s="3"/>
      <c r="B380" s="3"/>
      <c r="C380" s="3"/>
      <c r="D380" s="3"/>
      <c r="E380" s="3"/>
      <c r="F380" s="3"/>
      <c r="G380" s="3"/>
      <c r="H380" s="12"/>
      <c r="I380" s="3"/>
      <c r="J380" s="3"/>
      <c r="K380" s="3"/>
      <c r="L380" s="3"/>
      <c r="M380" s="3"/>
    </row>
    <row r="381" spans="1:13">
      <c r="A381" s="3"/>
      <c r="B381" s="3"/>
      <c r="C381" s="3"/>
      <c r="D381" s="3"/>
      <c r="E381" s="3"/>
      <c r="F381" s="3"/>
      <c r="G381" s="3"/>
      <c r="H381" s="12"/>
      <c r="I381" s="3"/>
      <c r="J381" s="3"/>
      <c r="K381" s="3"/>
      <c r="L381" s="3"/>
      <c r="M381" s="3"/>
    </row>
    <row r="382" spans="1:13">
      <c r="A382" s="3"/>
      <c r="B382" s="3"/>
      <c r="C382" s="3"/>
      <c r="D382" s="3"/>
      <c r="E382" s="3"/>
      <c r="F382" s="3"/>
      <c r="G382" s="3"/>
      <c r="H382" s="12"/>
      <c r="I382" s="3"/>
      <c r="J382" s="3"/>
      <c r="K382" s="3"/>
      <c r="L382" s="3"/>
      <c r="M382" s="3"/>
    </row>
    <row r="383" spans="1:13">
      <c r="A383" s="3"/>
      <c r="B383" s="3"/>
      <c r="C383" s="3"/>
      <c r="D383" s="3"/>
      <c r="E383" s="3"/>
      <c r="F383" s="3"/>
      <c r="G383" s="3"/>
      <c r="H383" s="12"/>
      <c r="I383" s="3"/>
      <c r="J383" s="3"/>
      <c r="K383" s="3"/>
      <c r="L383" s="3"/>
      <c r="M383" s="3"/>
    </row>
    <row r="384" spans="1:13">
      <c r="A384" s="3"/>
      <c r="B384" s="3"/>
      <c r="C384" s="3"/>
      <c r="D384" s="3"/>
      <c r="E384" s="3"/>
      <c r="F384" s="3"/>
      <c r="G384" s="3"/>
      <c r="H384" s="12"/>
      <c r="I384" s="3"/>
      <c r="J384" s="3"/>
      <c r="K384" s="3"/>
      <c r="L384" s="3"/>
      <c r="M384" s="3"/>
    </row>
    <row r="385" spans="1:13">
      <c r="A385" s="3"/>
      <c r="B385" s="3"/>
      <c r="C385" s="3"/>
      <c r="D385" s="3"/>
      <c r="E385" s="3"/>
      <c r="F385" s="3"/>
      <c r="G385" s="3"/>
      <c r="H385" s="12"/>
      <c r="I385" s="3"/>
      <c r="J385" s="3"/>
      <c r="K385" s="3"/>
      <c r="L385" s="3"/>
      <c r="M385" s="3"/>
    </row>
    <row r="386" spans="1:13">
      <c r="A386" s="3"/>
      <c r="B386" s="3"/>
      <c r="C386" s="3"/>
      <c r="D386" s="3"/>
      <c r="E386" s="3"/>
      <c r="F386" s="3"/>
      <c r="G386" s="3"/>
      <c r="H386" s="12"/>
      <c r="I386" s="3"/>
      <c r="J386" s="3"/>
      <c r="K386" s="3"/>
      <c r="L386" s="3"/>
      <c r="M386" s="3"/>
    </row>
    <row r="387" spans="1:13">
      <c r="A387" s="3"/>
      <c r="B387" s="3"/>
      <c r="C387" s="3"/>
      <c r="D387" s="3"/>
      <c r="E387" s="3"/>
      <c r="F387" s="3"/>
      <c r="G387" s="3"/>
      <c r="H387" s="12"/>
      <c r="I387" s="3"/>
      <c r="J387" s="3"/>
      <c r="K387" s="3"/>
      <c r="L387" s="3"/>
      <c r="M387" s="3"/>
    </row>
    <row r="388" spans="1:13">
      <c r="A388" s="3"/>
      <c r="B388" s="3"/>
      <c r="C388" s="3"/>
      <c r="D388" s="3"/>
      <c r="E388" s="3"/>
      <c r="F388" s="3"/>
      <c r="G388" s="3"/>
      <c r="H388" s="12"/>
      <c r="I388" s="3"/>
      <c r="J388" s="3"/>
      <c r="K388" s="3"/>
      <c r="L388" s="3"/>
      <c r="M388" s="3"/>
    </row>
    <row r="389" spans="1:13">
      <c r="A389" s="3"/>
      <c r="B389" s="3"/>
      <c r="C389" s="3"/>
      <c r="D389" s="3"/>
      <c r="E389" s="3"/>
      <c r="F389" s="3"/>
      <c r="G389" s="3"/>
      <c r="H389" s="12"/>
      <c r="I389" s="3"/>
      <c r="J389" s="3"/>
      <c r="K389" s="3"/>
      <c r="L389" s="3"/>
      <c r="M389" s="3"/>
    </row>
    <row r="390" spans="1:13">
      <c r="A390" s="3"/>
      <c r="B390" s="3"/>
      <c r="C390" s="3"/>
      <c r="D390" s="3"/>
      <c r="E390" s="3"/>
      <c r="F390" s="3"/>
      <c r="G390" s="3"/>
      <c r="H390" s="12"/>
      <c r="I390" s="3"/>
      <c r="J390" s="3"/>
      <c r="K390" s="3"/>
      <c r="L390" s="3"/>
      <c r="M390" s="3"/>
    </row>
    <row r="391" spans="1:13">
      <c r="A391" s="3"/>
      <c r="B391" s="3"/>
      <c r="C391" s="3"/>
      <c r="D391" s="3"/>
      <c r="E391" s="3"/>
      <c r="F391" s="3"/>
      <c r="G391" s="3"/>
      <c r="H391" s="12"/>
      <c r="I391" s="3"/>
      <c r="J391" s="3"/>
      <c r="K391" s="3"/>
      <c r="L391" s="3"/>
      <c r="M391" s="3"/>
    </row>
    <row r="392" spans="1:13">
      <c r="A392" s="3"/>
      <c r="B392" s="3"/>
      <c r="C392" s="3"/>
      <c r="D392" s="3"/>
      <c r="E392" s="3"/>
      <c r="F392" s="3"/>
      <c r="G392" s="3"/>
      <c r="H392" s="12"/>
      <c r="I392" s="3"/>
      <c r="J392" s="3"/>
      <c r="K392" s="3"/>
      <c r="L392" s="3"/>
      <c r="M392" s="3"/>
    </row>
    <row r="393" spans="1:13">
      <c r="A393" s="3"/>
      <c r="B393" s="3"/>
      <c r="C393" s="3"/>
      <c r="D393" s="3"/>
      <c r="E393" s="3"/>
      <c r="F393" s="3"/>
      <c r="G393" s="3"/>
      <c r="H393" s="12"/>
      <c r="I393" s="3"/>
      <c r="J393" s="3"/>
      <c r="K393" s="3"/>
      <c r="L393" s="3"/>
      <c r="M393" s="3"/>
    </row>
    <row r="394" spans="1:13">
      <c r="A394" s="3"/>
      <c r="B394" s="3"/>
      <c r="C394" s="3"/>
      <c r="D394" s="3"/>
      <c r="E394" s="3"/>
      <c r="F394" s="3"/>
      <c r="G394" s="3"/>
      <c r="H394" s="12"/>
      <c r="I394" s="3"/>
      <c r="J394" s="3"/>
      <c r="K394" s="3"/>
      <c r="L394" s="3"/>
      <c r="M394" s="3"/>
    </row>
    <row r="395" spans="1:13">
      <c r="A395" s="3"/>
      <c r="B395" s="3"/>
      <c r="C395" s="3"/>
      <c r="D395" s="3"/>
      <c r="E395" s="3"/>
      <c r="F395" s="3"/>
      <c r="G395" s="3"/>
      <c r="H395" s="12"/>
      <c r="I395" s="3"/>
      <c r="J395" s="3"/>
      <c r="K395" s="3"/>
      <c r="L395" s="3"/>
      <c r="M395" s="3"/>
    </row>
    <row r="396" spans="1:13">
      <c r="A396" s="3"/>
      <c r="B396" s="3"/>
      <c r="C396" s="3"/>
      <c r="D396" s="3"/>
      <c r="E396" s="3"/>
      <c r="F396" s="3"/>
      <c r="G396" s="3"/>
      <c r="H396" s="12"/>
      <c r="I396" s="3"/>
      <c r="J396" s="3"/>
      <c r="K396" s="3"/>
      <c r="L396" s="3"/>
      <c r="M396" s="3"/>
    </row>
    <row r="397" spans="1:13">
      <c r="A397" s="3"/>
      <c r="B397" s="3"/>
      <c r="C397" s="3"/>
      <c r="D397" s="3"/>
      <c r="E397" s="3"/>
      <c r="F397" s="3"/>
      <c r="G397" s="3"/>
      <c r="H397" s="12"/>
      <c r="I397" s="3"/>
      <c r="J397" s="3"/>
      <c r="K397" s="3"/>
      <c r="L397" s="3"/>
      <c r="M397" s="3"/>
    </row>
    <row r="398" spans="1:13">
      <c r="A398" s="3"/>
      <c r="B398" s="3"/>
      <c r="C398" s="3"/>
      <c r="D398" s="3"/>
      <c r="E398" s="3"/>
      <c r="F398" s="3"/>
      <c r="G398" s="3"/>
      <c r="H398" s="12"/>
      <c r="I398" s="3"/>
      <c r="J398" s="3"/>
      <c r="K398" s="3"/>
      <c r="L398" s="3"/>
      <c r="M398" s="3"/>
    </row>
    <row r="399" spans="1:13">
      <c r="A399" s="3"/>
      <c r="B399" s="3"/>
      <c r="C399" s="3"/>
      <c r="D399" s="3"/>
      <c r="E399" s="3"/>
      <c r="F399" s="3"/>
      <c r="G399" s="3"/>
      <c r="H399" s="12"/>
      <c r="I399" s="3"/>
      <c r="J399" s="3"/>
      <c r="K399" s="3"/>
      <c r="L399" s="3"/>
      <c r="M399" s="3"/>
    </row>
    <row r="400" spans="1:13">
      <c r="A400" s="3"/>
      <c r="B400" s="3"/>
      <c r="C400" s="3"/>
      <c r="D400" s="3"/>
      <c r="E400" s="3"/>
      <c r="F400" s="3"/>
      <c r="G400" s="3"/>
      <c r="H400" s="12"/>
      <c r="I400" s="3"/>
      <c r="J400" s="3"/>
      <c r="K400" s="3"/>
      <c r="L400" s="3"/>
      <c r="M400" s="3"/>
    </row>
    <row r="401" spans="1:13">
      <c r="A401" s="3"/>
      <c r="B401" s="3"/>
      <c r="C401" s="3"/>
      <c r="D401" s="3"/>
      <c r="E401" s="3"/>
      <c r="F401" s="3"/>
      <c r="G401" s="3"/>
      <c r="H401" s="12"/>
      <c r="I401" s="3"/>
      <c r="J401" s="3"/>
      <c r="K401" s="3"/>
      <c r="L401" s="3"/>
      <c r="M401" s="3"/>
    </row>
    <row r="402" spans="1:13">
      <c r="A402" s="3"/>
      <c r="B402" s="3"/>
      <c r="C402" s="3"/>
      <c r="D402" s="3"/>
      <c r="E402" s="3"/>
      <c r="F402" s="3"/>
      <c r="G402" s="3"/>
      <c r="H402" s="12"/>
      <c r="I402" s="3"/>
      <c r="J402" s="3"/>
      <c r="K402" s="3"/>
      <c r="L402" s="3"/>
      <c r="M402" s="3"/>
    </row>
    <row r="403" spans="1:13">
      <c r="A403" s="3"/>
      <c r="B403" s="3"/>
      <c r="C403" s="3"/>
      <c r="D403" s="3"/>
      <c r="E403" s="3"/>
      <c r="F403" s="3"/>
      <c r="G403" s="3"/>
      <c r="H403" s="12"/>
      <c r="I403" s="3"/>
      <c r="J403" s="3"/>
      <c r="K403" s="3"/>
      <c r="L403" s="3"/>
      <c r="M403" s="3"/>
    </row>
    <row r="404" spans="1:13">
      <c r="A404" s="3"/>
      <c r="B404" s="3"/>
      <c r="C404" s="3"/>
      <c r="D404" s="3"/>
      <c r="E404" s="3"/>
      <c r="F404" s="3"/>
      <c r="G404" s="3"/>
      <c r="H404" s="12"/>
      <c r="I404" s="3"/>
      <c r="J404" s="3"/>
      <c r="K404" s="3"/>
      <c r="L404" s="3"/>
      <c r="M404" s="3"/>
    </row>
    <row r="405" spans="1:13">
      <c r="A405" s="3"/>
      <c r="B405" s="3"/>
      <c r="C405" s="3"/>
      <c r="D405" s="3"/>
      <c r="E405" s="3"/>
      <c r="F405" s="3"/>
      <c r="G405" s="3"/>
      <c r="H405" s="12"/>
      <c r="I405" s="3"/>
      <c r="J405" s="3"/>
      <c r="K405" s="3"/>
      <c r="L405" s="3"/>
      <c r="M405" s="3"/>
    </row>
    <row r="406" spans="1:13">
      <c r="A406" s="3"/>
      <c r="B406" s="3"/>
      <c r="C406" s="3"/>
      <c r="D406" s="3"/>
      <c r="E406" s="3"/>
      <c r="F406" s="3"/>
      <c r="G406" s="3"/>
      <c r="H406" s="12"/>
      <c r="I406" s="3"/>
      <c r="J406" s="3"/>
      <c r="K406" s="3"/>
      <c r="L406" s="3"/>
      <c r="M406" s="3"/>
    </row>
    <row r="407" spans="1:13">
      <c r="A407" s="3"/>
      <c r="B407" s="3"/>
      <c r="C407" s="3"/>
      <c r="D407" s="3"/>
      <c r="E407" s="3"/>
      <c r="F407" s="3"/>
      <c r="G407" s="3"/>
      <c r="H407" s="12"/>
      <c r="I407" s="3"/>
      <c r="J407" s="3"/>
      <c r="K407" s="3"/>
      <c r="L407" s="3"/>
      <c r="M407" s="3"/>
    </row>
    <row r="408" spans="1:13">
      <c r="A408" s="3"/>
      <c r="B408" s="3"/>
      <c r="C408" s="3"/>
      <c r="D408" s="3"/>
      <c r="E408" s="3"/>
      <c r="F408" s="3"/>
      <c r="G408" s="3"/>
      <c r="H408" s="12"/>
      <c r="I408" s="3"/>
      <c r="J408" s="3"/>
      <c r="K408" s="3"/>
      <c r="L408" s="3"/>
      <c r="M408" s="3"/>
    </row>
    <row r="409" spans="1:13">
      <c r="A409" s="3"/>
      <c r="B409" s="3"/>
      <c r="C409" s="3"/>
      <c r="D409" s="3"/>
      <c r="E409" s="3"/>
      <c r="F409" s="3"/>
      <c r="G409" s="3"/>
      <c r="H409" s="12"/>
      <c r="I409" s="3"/>
      <c r="J409" s="3"/>
      <c r="K409" s="3"/>
      <c r="L409" s="3"/>
      <c r="M409" s="3"/>
    </row>
    <row r="410" spans="1:13">
      <c r="A410" s="3"/>
      <c r="B410" s="3"/>
      <c r="C410" s="3"/>
      <c r="D410" s="3"/>
      <c r="E410" s="3"/>
      <c r="F410" s="3"/>
      <c r="G410" s="3"/>
      <c r="H410" s="12"/>
      <c r="I410" s="3"/>
      <c r="J410" s="3"/>
      <c r="K410" s="3"/>
      <c r="L410" s="3"/>
      <c r="M410" s="3"/>
    </row>
    <row r="411" spans="1:13">
      <c r="A411" s="3"/>
      <c r="B411" s="3"/>
      <c r="C411" s="3"/>
      <c r="D411" s="3"/>
      <c r="E411" s="3"/>
      <c r="F411" s="3"/>
      <c r="G411" s="3"/>
      <c r="H411" s="12"/>
      <c r="I411" s="3"/>
      <c r="J411" s="3"/>
      <c r="K411" s="3"/>
      <c r="L411" s="3"/>
      <c r="M411" s="3"/>
    </row>
    <row r="412" spans="1:13">
      <c r="A412" s="3"/>
      <c r="B412" s="3"/>
      <c r="C412" s="3"/>
      <c r="D412" s="3"/>
      <c r="E412" s="3"/>
      <c r="F412" s="3"/>
      <c r="G412" s="3"/>
      <c r="H412" s="12"/>
      <c r="I412" s="3"/>
      <c r="J412" s="3"/>
      <c r="K412" s="3"/>
      <c r="L412" s="3"/>
      <c r="M412" s="3"/>
    </row>
    <row r="413" spans="1:13">
      <c r="A413" s="3"/>
      <c r="B413" s="3"/>
      <c r="C413" s="3"/>
      <c r="D413" s="3"/>
      <c r="E413" s="3"/>
      <c r="F413" s="3"/>
      <c r="G413" s="3"/>
      <c r="H413" s="12"/>
      <c r="I413" s="3"/>
      <c r="J413" s="3"/>
      <c r="K413" s="3"/>
      <c r="L413" s="3"/>
      <c r="M413" s="3"/>
    </row>
    <row r="414" spans="1:13">
      <c r="A414" s="3"/>
      <c r="B414" s="3"/>
      <c r="C414" s="3"/>
      <c r="D414" s="3"/>
      <c r="E414" s="3"/>
      <c r="F414" s="3"/>
      <c r="G414" s="3"/>
      <c r="H414" s="12"/>
      <c r="I414" s="3"/>
      <c r="J414" s="3"/>
      <c r="K414" s="3"/>
      <c r="L414" s="3"/>
      <c r="M414" s="3"/>
    </row>
    <row r="415" spans="1:13">
      <c r="A415" s="3"/>
      <c r="B415" s="3"/>
      <c r="C415" s="3"/>
      <c r="D415" s="3"/>
      <c r="E415" s="3"/>
      <c r="F415" s="3"/>
      <c r="G415" s="3"/>
      <c r="H415" s="12"/>
      <c r="I415" s="3"/>
      <c r="J415" s="3"/>
      <c r="K415" s="3"/>
      <c r="L415" s="3"/>
      <c r="M415" s="3"/>
    </row>
    <row r="416" spans="1:13">
      <c r="A416" s="3"/>
      <c r="B416" s="3"/>
      <c r="C416" s="3"/>
      <c r="D416" s="3"/>
      <c r="E416" s="3"/>
      <c r="F416" s="3"/>
      <c r="G416" s="3"/>
      <c r="H416" s="12"/>
      <c r="I416" s="3"/>
      <c r="J416" s="3"/>
      <c r="K416" s="3"/>
      <c r="L416" s="3"/>
      <c r="M416" s="3"/>
    </row>
    <row r="417" spans="1:13">
      <c r="A417" s="3"/>
      <c r="B417" s="3"/>
      <c r="C417" s="3"/>
      <c r="D417" s="3"/>
      <c r="E417" s="3"/>
      <c r="F417" s="3"/>
      <c r="G417" s="3"/>
      <c r="H417" s="12"/>
      <c r="I417" s="3"/>
      <c r="J417" s="3"/>
      <c r="K417" s="3"/>
      <c r="L417" s="3"/>
      <c r="M417" s="3"/>
    </row>
    <row r="418" spans="1:13">
      <c r="A418" s="3"/>
      <c r="B418" s="3"/>
      <c r="C418" s="3"/>
      <c r="D418" s="3"/>
      <c r="E418" s="3"/>
      <c r="F418" s="3"/>
      <c r="G418" s="3"/>
      <c r="H418" s="12"/>
      <c r="I418" s="3"/>
      <c r="J418" s="3"/>
      <c r="K418" s="3"/>
      <c r="L418" s="3"/>
      <c r="M418" s="3"/>
    </row>
    <row r="419" spans="1:13">
      <c r="A419" s="3"/>
      <c r="B419" s="3"/>
      <c r="C419" s="3"/>
      <c r="D419" s="3"/>
      <c r="E419" s="3"/>
      <c r="F419" s="3"/>
      <c r="G419" s="3"/>
      <c r="H419" s="12"/>
      <c r="I419" s="3"/>
      <c r="J419" s="3"/>
      <c r="K419" s="3"/>
      <c r="L419" s="3"/>
      <c r="M419" s="3"/>
    </row>
    <row r="420" spans="1:13">
      <c r="A420" s="3"/>
      <c r="B420" s="3"/>
      <c r="C420" s="3"/>
      <c r="D420" s="3"/>
      <c r="E420" s="3"/>
      <c r="F420" s="3"/>
      <c r="G420" s="3"/>
      <c r="H420" s="12"/>
      <c r="I420" s="3"/>
      <c r="J420" s="3"/>
      <c r="K420" s="3"/>
      <c r="L420" s="3"/>
      <c r="M420" s="3"/>
    </row>
    <row r="421" spans="1:13">
      <c r="A421" s="3"/>
      <c r="B421" s="3"/>
      <c r="C421" s="3"/>
      <c r="D421" s="3"/>
      <c r="E421" s="3"/>
      <c r="F421" s="3"/>
      <c r="G421" s="3"/>
      <c r="H421" s="12"/>
      <c r="I421" s="3"/>
      <c r="J421" s="3"/>
      <c r="K421" s="3"/>
      <c r="L421" s="3"/>
      <c r="M421" s="3"/>
    </row>
    <row r="422" spans="1:13">
      <c r="A422" s="3"/>
      <c r="B422" s="3"/>
      <c r="C422" s="3"/>
      <c r="D422" s="3"/>
      <c r="E422" s="3"/>
      <c r="F422" s="3"/>
      <c r="G422" s="3"/>
      <c r="H422" s="12"/>
      <c r="I422" s="3"/>
      <c r="J422" s="3"/>
      <c r="K422" s="3"/>
      <c r="L422" s="3"/>
      <c r="M422" s="3"/>
    </row>
    <row r="423" spans="1:13">
      <c r="A423" s="3"/>
      <c r="B423" s="3"/>
      <c r="C423" s="3"/>
      <c r="D423" s="3"/>
      <c r="E423" s="3"/>
      <c r="F423" s="3"/>
      <c r="G423" s="3"/>
      <c r="H423" s="12"/>
      <c r="I423" s="3"/>
      <c r="J423" s="3"/>
      <c r="K423" s="3"/>
      <c r="L423" s="3"/>
      <c r="M423" s="3"/>
    </row>
    <row r="424" spans="1:13">
      <c r="A424" s="3"/>
      <c r="B424" s="3"/>
      <c r="C424" s="3"/>
      <c r="D424" s="3"/>
      <c r="E424" s="3"/>
      <c r="F424" s="3"/>
      <c r="G424" s="3"/>
      <c r="H424" s="12"/>
      <c r="I424" s="3"/>
      <c r="J424" s="3"/>
      <c r="K424" s="3"/>
      <c r="L424" s="3"/>
      <c r="M424" s="3"/>
    </row>
    <row r="425" spans="1:13">
      <c r="A425" s="3"/>
      <c r="B425" s="3"/>
      <c r="C425" s="3"/>
      <c r="D425" s="3"/>
      <c r="E425" s="3"/>
      <c r="F425" s="3"/>
      <c r="G425" s="3"/>
      <c r="H425" s="12"/>
      <c r="I425" s="3"/>
      <c r="J425" s="3"/>
      <c r="K425" s="3"/>
      <c r="L425" s="3"/>
      <c r="M425" s="3"/>
    </row>
    <row r="426" spans="1:13">
      <c r="A426" s="3"/>
      <c r="B426" s="3"/>
      <c r="C426" s="3"/>
      <c r="D426" s="3"/>
      <c r="E426" s="3"/>
      <c r="F426" s="3"/>
      <c r="G426" s="3"/>
      <c r="H426" s="12"/>
      <c r="I426" s="3"/>
      <c r="J426" s="3"/>
      <c r="K426" s="3"/>
      <c r="L426" s="3"/>
      <c r="M426" s="3"/>
    </row>
    <row r="427" spans="1:13">
      <c r="A427" s="3"/>
      <c r="B427" s="3"/>
      <c r="C427" s="3"/>
      <c r="D427" s="3"/>
      <c r="E427" s="3"/>
      <c r="F427" s="3"/>
      <c r="G427" s="3"/>
      <c r="H427" s="12"/>
      <c r="I427" s="3"/>
      <c r="J427" s="3"/>
      <c r="K427" s="3"/>
      <c r="L427" s="3"/>
      <c r="M427" s="3"/>
    </row>
    <row r="428" spans="1:13">
      <c r="A428" s="3"/>
      <c r="B428" s="3"/>
      <c r="C428" s="3"/>
      <c r="D428" s="3"/>
      <c r="E428" s="3"/>
      <c r="F428" s="3"/>
      <c r="G428" s="3"/>
      <c r="H428" s="12"/>
      <c r="I428" s="3"/>
      <c r="J428" s="3"/>
      <c r="K428" s="3"/>
      <c r="L428" s="3"/>
      <c r="M428" s="3"/>
    </row>
    <row r="429" spans="1:13">
      <c r="A429" s="3"/>
      <c r="B429" s="3"/>
      <c r="C429" s="3"/>
      <c r="D429" s="3"/>
      <c r="E429" s="3"/>
      <c r="F429" s="3"/>
      <c r="G429" s="3"/>
      <c r="H429" s="12"/>
      <c r="I429" s="3"/>
      <c r="J429" s="3"/>
      <c r="K429" s="3"/>
      <c r="L429" s="3"/>
      <c r="M429" s="3"/>
    </row>
    <row r="430" spans="1:13">
      <c r="A430" s="3"/>
      <c r="B430" s="3"/>
      <c r="C430" s="3"/>
      <c r="D430" s="3"/>
      <c r="E430" s="3"/>
      <c r="F430" s="3"/>
      <c r="G430" s="3"/>
      <c r="H430" s="12"/>
      <c r="I430" s="3"/>
      <c r="J430" s="3"/>
      <c r="K430" s="3"/>
      <c r="L430" s="3"/>
      <c r="M430" s="3"/>
    </row>
    <row r="431" spans="1:13">
      <c r="A431" s="3"/>
      <c r="B431" s="3"/>
      <c r="C431" s="3"/>
      <c r="D431" s="3"/>
      <c r="E431" s="3"/>
      <c r="F431" s="3"/>
      <c r="G431" s="3"/>
      <c r="H431" s="12"/>
      <c r="I431" s="3"/>
      <c r="J431" s="3"/>
      <c r="K431" s="3"/>
      <c r="L431" s="3"/>
      <c r="M431" s="3"/>
    </row>
    <row r="432" spans="1:13">
      <c r="A432" s="3"/>
      <c r="B432" s="3"/>
      <c r="C432" s="3"/>
      <c r="D432" s="3"/>
      <c r="E432" s="3"/>
      <c r="F432" s="3"/>
      <c r="G432" s="3"/>
      <c r="H432" s="12"/>
      <c r="I432" s="3"/>
      <c r="J432" s="3"/>
      <c r="K432" s="3"/>
      <c r="L432" s="3"/>
      <c r="M432" s="3"/>
    </row>
    <row r="433" spans="1:13">
      <c r="A433" s="3"/>
      <c r="B433" s="3"/>
      <c r="C433" s="3"/>
      <c r="D433" s="3"/>
      <c r="E433" s="3"/>
      <c r="F433" s="3"/>
      <c r="G433" s="3"/>
      <c r="H433" s="12"/>
      <c r="I433" s="3"/>
      <c r="J433" s="3"/>
      <c r="K433" s="3"/>
      <c r="L433" s="3"/>
      <c r="M433" s="3"/>
    </row>
    <row r="434" spans="1:13">
      <c r="A434" s="3"/>
      <c r="B434" s="3"/>
      <c r="C434" s="3"/>
      <c r="D434" s="3"/>
      <c r="E434" s="3"/>
      <c r="F434" s="3"/>
      <c r="G434" s="3"/>
      <c r="H434" s="12"/>
      <c r="I434" s="3"/>
      <c r="J434" s="3"/>
      <c r="K434" s="3"/>
      <c r="L434" s="3"/>
      <c r="M434" s="3"/>
    </row>
    <row r="435" spans="1:13">
      <c r="A435" s="3"/>
      <c r="B435" s="3"/>
      <c r="C435" s="3"/>
      <c r="D435" s="3"/>
      <c r="E435" s="3"/>
      <c r="F435" s="3"/>
      <c r="G435" s="3"/>
      <c r="H435" s="12"/>
      <c r="I435" s="3"/>
      <c r="J435" s="3"/>
      <c r="K435" s="3"/>
      <c r="L435" s="3"/>
      <c r="M435" s="3"/>
    </row>
    <row r="436" spans="1:13">
      <c r="A436" s="3"/>
      <c r="B436" s="3"/>
      <c r="C436" s="3"/>
      <c r="D436" s="3"/>
      <c r="E436" s="3"/>
      <c r="F436" s="3"/>
      <c r="G436" s="3"/>
      <c r="H436" s="12"/>
      <c r="I436" s="3"/>
      <c r="J436" s="3"/>
      <c r="K436" s="3"/>
      <c r="L436" s="3"/>
      <c r="M436" s="3"/>
    </row>
    <row r="437" spans="1:13">
      <c r="A437" s="3"/>
      <c r="B437" s="3"/>
      <c r="C437" s="3"/>
      <c r="D437" s="3"/>
      <c r="E437" s="3"/>
      <c r="F437" s="3"/>
      <c r="G437" s="3"/>
      <c r="H437" s="12"/>
      <c r="I437" s="3"/>
      <c r="J437" s="3"/>
      <c r="K437" s="3"/>
      <c r="L437" s="3"/>
      <c r="M437" s="3"/>
    </row>
    <row r="438" spans="1:13">
      <c r="A438" s="3"/>
      <c r="B438" s="3"/>
      <c r="C438" s="3"/>
      <c r="D438" s="3"/>
      <c r="E438" s="3"/>
      <c r="F438" s="3"/>
      <c r="G438" s="3"/>
      <c r="H438" s="12"/>
      <c r="I438" s="3"/>
      <c r="J438" s="3"/>
      <c r="K438" s="3"/>
      <c r="L438" s="3"/>
      <c r="M438" s="3"/>
    </row>
    <row r="439" spans="1:13">
      <c r="A439" s="3"/>
      <c r="B439" s="3"/>
      <c r="C439" s="3"/>
      <c r="D439" s="3"/>
      <c r="E439" s="3"/>
      <c r="F439" s="3"/>
      <c r="G439" s="3"/>
      <c r="H439" s="12"/>
      <c r="I439" s="3"/>
      <c r="J439" s="3"/>
      <c r="K439" s="3"/>
      <c r="L439" s="3"/>
      <c r="M439" s="3"/>
    </row>
    <row r="440" spans="1:13">
      <c r="A440" s="3"/>
      <c r="B440" s="3"/>
      <c r="C440" s="3"/>
      <c r="D440" s="3"/>
      <c r="E440" s="3"/>
      <c r="F440" s="3"/>
      <c r="G440" s="3"/>
      <c r="H440" s="12"/>
      <c r="I440" s="3"/>
      <c r="J440" s="3"/>
      <c r="K440" s="3"/>
      <c r="L440" s="3"/>
      <c r="M440" s="3"/>
    </row>
    <row r="441" spans="1:13">
      <c r="A441" s="3"/>
      <c r="B441" s="3"/>
      <c r="C441" s="3"/>
      <c r="D441" s="3"/>
      <c r="E441" s="3"/>
      <c r="F441" s="3"/>
      <c r="G441" s="3"/>
      <c r="H441" s="12"/>
      <c r="I441" s="3"/>
      <c r="J441" s="3"/>
      <c r="K441" s="3"/>
      <c r="L441" s="3"/>
      <c r="M441" s="3"/>
    </row>
    <row r="442" spans="1:13">
      <c r="A442" s="3"/>
      <c r="B442" s="3"/>
      <c r="C442" s="3"/>
      <c r="D442" s="3"/>
      <c r="E442" s="3"/>
      <c r="F442" s="3"/>
      <c r="G442" s="3"/>
      <c r="H442" s="12"/>
      <c r="I442" s="3"/>
      <c r="J442" s="3"/>
      <c r="K442" s="3"/>
      <c r="L442" s="3"/>
      <c r="M442" s="3"/>
    </row>
    <row r="443" spans="1:13">
      <c r="A443" s="3"/>
      <c r="B443" s="3"/>
      <c r="C443" s="3"/>
      <c r="D443" s="3"/>
      <c r="E443" s="3"/>
      <c r="F443" s="3"/>
      <c r="G443" s="3"/>
      <c r="H443" s="12"/>
      <c r="I443" s="3"/>
      <c r="J443" s="3"/>
      <c r="K443" s="3"/>
      <c r="L443" s="3"/>
      <c r="M443" s="3"/>
    </row>
    <row r="444" spans="1:13">
      <c r="A444" s="3"/>
      <c r="B444" s="3"/>
      <c r="C444" s="3"/>
      <c r="D444" s="3"/>
      <c r="E444" s="3"/>
      <c r="F444" s="3"/>
      <c r="G444" s="3"/>
      <c r="H444" s="12"/>
      <c r="I444" s="3"/>
      <c r="J444" s="3"/>
      <c r="K444" s="3"/>
      <c r="L444" s="3"/>
      <c r="M444" s="3"/>
    </row>
    <row r="445" spans="1:13">
      <c r="A445" s="3"/>
      <c r="B445" s="3"/>
      <c r="C445" s="3"/>
      <c r="D445" s="3"/>
      <c r="E445" s="3"/>
      <c r="F445" s="3"/>
      <c r="G445" s="3"/>
      <c r="H445" s="12"/>
      <c r="I445" s="3"/>
      <c r="J445" s="3"/>
      <c r="K445" s="3"/>
      <c r="L445" s="3"/>
      <c r="M445" s="3"/>
    </row>
    <row r="446" spans="1:13">
      <c r="A446" s="3"/>
      <c r="B446" s="3"/>
      <c r="C446" s="3"/>
      <c r="D446" s="3"/>
      <c r="E446" s="3"/>
      <c r="F446" s="3"/>
      <c r="G446" s="3"/>
      <c r="H446" s="12"/>
      <c r="I446" s="3"/>
      <c r="J446" s="3"/>
      <c r="K446" s="3"/>
      <c r="L446" s="3"/>
      <c r="M446" s="3"/>
    </row>
    <row r="447" spans="1:13">
      <c r="A447" s="3"/>
      <c r="B447" s="3"/>
      <c r="C447" s="3"/>
      <c r="D447" s="3"/>
      <c r="E447" s="3"/>
      <c r="F447" s="3"/>
      <c r="G447" s="3"/>
      <c r="H447" s="12"/>
      <c r="I447" s="3"/>
      <c r="J447" s="3"/>
      <c r="K447" s="3"/>
      <c r="L447" s="3"/>
      <c r="M447" s="3"/>
    </row>
    <row r="448" spans="1:13">
      <c r="A448" s="3"/>
      <c r="B448" s="3"/>
      <c r="C448" s="3"/>
      <c r="D448" s="3"/>
      <c r="E448" s="3"/>
      <c r="F448" s="3"/>
      <c r="G448" s="3"/>
      <c r="H448" s="12"/>
      <c r="I448" s="3"/>
      <c r="J448" s="3"/>
      <c r="K448" s="3"/>
      <c r="L448" s="3"/>
      <c r="M448" s="3"/>
    </row>
    <row r="449" spans="1:13">
      <c r="A449" s="3"/>
      <c r="B449" s="3"/>
      <c r="C449" s="3"/>
      <c r="D449" s="3"/>
      <c r="E449" s="3"/>
      <c r="F449" s="3"/>
      <c r="G449" s="3"/>
      <c r="H449" s="12"/>
      <c r="I449" s="3"/>
      <c r="J449" s="3"/>
      <c r="K449" s="3"/>
      <c r="L449" s="3"/>
      <c r="M449" s="3"/>
    </row>
    <row r="450" spans="1:13">
      <c r="A450" s="3"/>
      <c r="B450" s="3"/>
      <c r="C450" s="3"/>
      <c r="D450" s="3"/>
      <c r="E450" s="3"/>
      <c r="F450" s="3"/>
      <c r="G450" s="3"/>
      <c r="H450" s="12"/>
      <c r="I450" s="3"/>
      <c r="J450" s="3"/>
      <c r="K450" s="3"/>
      <c r="L450" s="3"/>
      <c r="M450" s="3"/>
    </row>
    <row r="451" spans="1:13">
      <c r="A451" s="3"/>
      <c r="B451" s="3"/>
      <c r="C451" s="3"/>
      <c r="D451" s="3"/>
      <c r="E451" s="3"/>
      <c r="F451" s="3"/>
      <c r="G451" s="3"/>
      <c r="H451" s="12"/>
      <c r="I451" s="3"/>
      <c r="J451" s="3"/>
      <c r="K451" s="3"/>
      <c r="L451" s="3"/>
      <c r="M451" s="3"/>
    </row>
    <row r="452" spans="1:13">
      <c r="A452" s="3"/>
      <c r="B452" s="3"/>
      <c r="C452" s="3"/>
      <c r="D452" s="3"/>
      <c r="E452" s="3"/>
      <c r="F452" s="3"/>
      <c r="G452" s="3"/>
      <c r="H452" s="12"/>
      <c r="I452" s="3"/>
      <c r="J452" s="3"/>
      <c r="K452" s="3"/>
      <c r="L452" s="3"/>
      <c r="M452" s="3"/>
    </row>
    <row r="453" spans="1:13">
      <c r="A453" s="3"/>
      <c r="B453" s="3"/>
      <c r="C453" s="3"/>
      <c r="D453" s="3"/>
      <c r="E453" s="3"/>
      <c r="F453" s="3"/>
      <c r="G453" s="3"/>
      <c r="H453" s="12"/>
      <c r="I453" s="3"/>
      <c r="J453" s="3"/>
      <c r="K453" s="3"/>
      <c r="L453" s="3"/>
      <c r="M453" s="3"/>
    </row>
    <row r="454" spans="1:13">
      <c r="A454" s="3"/>
      <c r="B454" s="3"/>
      <c r="C454" s="3"/>
      <c r="D454" s="3"/>
      <c r="E454" s="3"/>
      <c r="F454" s="3"/>
      <c r="G454" s="3"/>
      <c r="H454" s="12"/>
      <c r="I454" s="3"/>
      <c r="J454" s="3"/>
      <c r="K454" s="3"/>
      <c r="L454" s="3"/>
      <c r="M454" s="3"/>
    </row>
    <row r="455" spans="1:13">
      <c r="A455" s="3"/>
      <c r="B455" s="3"/>
      <c r="C455" s="3"/>
      <c r="D455" s="3"/>
      <c r="E455" s="3"/>
      <c r="F455" s="3"/>
      <c r="G455" s="3"/>
      <c r="H455" s="12"/>
      <c r="I455" s="3"/>
      <c r="J455" s="3"/>
      <c r="K455" s="3"/>
      <c r="L455" s="3"/>
      <c r="M455" s="3"/>
    </row>
    <row r="456" spans="1:13">
      <c r="A456" s="3"/>
      <c r="B456" s="3"/>
      <c r="C456" s="3"/>
      <c r="D456" s="3"/>
      <c r="E456" s="3"/>
      <c r="F456" s="3"/>
      <c r="G456" s="3"/>
      <c r="H456" s="12"/>
      <c r="I456" s="3"/>
      <c r="J456" s="3"/>
      <c r="K456" s="3"/>
      <c r="L456" s="3"/>
      <c r="M456" s="3"/>
    </row>
    <row r="457" spans="1:13">
      <c r="A457" s="3"/>
      <c r="B457" s="3"/>
      <c r="C457" s="3"/>
      <c r="D457" s="3"/>
      <c r="E457" s="3"/>
      <c r="F457" s="3"/>
      <c r="G457" s="3"/>
      <c r="H457" s="12"/>
      <c r="I457" s="3"/>
      <c r="J457" s="3"/>
      <c r="K457" s="3"/>
      <c r="L457" s="3"/>
      <c r="M457" s="3"/>
    </row>
    <row r="458" spans="1:13">
      <c r="A458" s="3"/>
      <c r="B458" s="3"/>
      <c r="C458" s="3"/>
      <c r="D458" s="3"/>
      <c r="E458" s="3"/>
      <c r="F458" s="3"/>
      <c r="G458" s="3"/>
      <c r="H458" s="12"/>
      <c r="I458" s="3"/>
      <c r="J458" s="3"/>
      <c r="K458" s="3"/>
      <c r="L458" s="3"/>
      <c r="M458" s="3"/>
    </row>
    <row r="459" spans="1:13">
      <c r="A459" s="3"/>
      <c r="B459" s="3"/>
      <c r="C459" s="3"/>
      <c r="D459" s="3"/>
      <c r="E459" s="3"/>
      <c r="F459" s="3"/>
      <c r="G459" s="3"/>
      <c r="H459" s="12"/>
      <c r="I459" s="3"/>
      <c r="J459" s="3"/>
      <c r="K459" s="3"/>
      <c r="L459" s="3"/>
      <c r="M459" s="3"/>
    </row>
    <row r="460" spans="1:13">
      <c r="A460" s="3"/>
      <c r="B460" s="3"/>
      <c r="C460" s="3"/>
      <c r="D460" s="3"/>
      <c r="E460" s="3"/>
      <c r="F460" s="3"/>
      <c r="G460" s="3"/>
      <c r="H460" s="12"/>
      <c r="I460" s="3"/>
      <c r="J460" s="3"/>
      <c r="K460" s="3"/>
      <c r="L460" s="3"/>
      <c r="M460" s="3"/>
    </row>
    <row r="461" spans="1:13">
      <c r="A461" s="3"/>
      <c r="B461" s="3"/>
      <c r="C461" s="3"/>
      <c r="D461" s="3"/>
      <c r="E461" s="3"/>
      <c r="F461" s="3"/>
      <c r="G461" s="3"/>
      <c r="H461" s="12"/>
      <c r="I461" s="3"/>
      <c r="J461" s="3"/>
      <c r="K461" s="3"/>
      <c r="L461" s="3"/>
      <c r="M461" s="3"/>
    </row>
    <row r="462" spans="1:13">
      <c r="A462" s="3"/>
      <c r="B462" s="3"/>
      <c r="C462" s="3"/>
      <c r="D462" s="3"/>
      <c r="E462" s="3"/>
      <c r="F462" s="3"/>
      <c r="G462" s="3"/>
      <c r="H462" s="12"/>
      <c r="I462" s="3"/>
      <c r="J462" s="3"/>
      <c r="K462" s="3"/>
      <c r="L462" s="3"/>
      <c r="M462" s="3"/>
    </row>
    <row r="463" spans="1:13">
      <c r="A463" s="3"/>
      <c r="B463" s="3"/>
      <c r="C463" s="3"/>
      <c r="D463" s="3"/>
      <c r="E463" s="3"/>
      <c r="F463" s="3"/>
      <c r="G463" s="3"/>
      <c r="H463" s="12"/>
      <c r="I463" s="3"/>
      <c r="J463" s="3"/>
      <c r="K463" s="3"/>
      <c r="L463" s="3"/>
      <c r="M463" s="3"/>
    </row>
    <row r="464" spans="1:13">
      <c r="A464" s="3"/>
      <c r="B464" s="3"/>
      <c r="C464" s="3"/>
      <c r="D464" s="3"/>
      <c r="E464" s="3"/>
      <c r="F464" s="3"/>
      <c r="G464" s="3"/>
      <c r="H464" s="12"/>
      <c r="I464" s="3"/>
      <c r="J464" s="3"/>
      <c r="K464" s="3"/>
      <c r="L464" s="3"/>
      <c r="M464" s="3"/>
    </row>
    <row r="465" spans="1:13">
      <c r="A465" s="3"/>
      <c r="B465" s="3"/>
      <c r="C465" s="3"/>
      <c r="D465" s="3"/>
      <c r="E465" s="3"/>
      <c r="F465" s="3"/>
      <c r="G465" s="3"/>
      <c r="H465" s="12"/>
      <c r="I465" s="3"/>
      <c r="J465" s="3"/>
      <c r="K465" s="3"/>
      <c r="L465" s="3"/>
      <c r="M465" s="3"/>
    </row>
    <row r="466" spans="1:13">
      <c r="A466" s="3"/>
      <c r="B466" s="3"/>
      <c r="C466" s="3"/>
      <c r="D466" s="3"/>
      <c r="E466" s="3"/>
      <c r="F466" s="3"/>
      <c r="G466" s="3"/>
      <c r="H466" s="12"/>
      <c r="I466" s="3"/>
      <c r="J466" s="3"/>
      <c r="K466" s="3"/>
      <c r="L466" s="3"/>
      <c r="M466" s="3"/>
    </row>
    <row r="467" spans="1:13">
      <c r="A467" s="3"/>
      <c r="B467" s="3"/>
      <c r="C467" s="3"/>
      <c r="D467" s="3"/>
      <c r="E467" s="3"/>
      <c r="F467" s="3"/>
      <c r="G467" s="3"/>
      <c r="H467" s="12"/>
      <c r="I467" s="3"/>
      <c r="J467" s="3"/>
      <c r="K467" s="3"/>
      <c r="L467" s="3"/>
      <c r="M467" s="3"/>
    </row>
    <row r="468" spans="1:13">
      <c r="A468" s="3"/>
      <c r="B468" s="3"/>
      <c r="C468" s="3"/>
      <c r="D468" s="3"/>
      <c r="E468" s="3"/>
      <c r="F468" s="3"/>
      <c r="G468" s="3"/>
      <c r="H468" s="12"/>
      <c r="I468" s="3"/>
      <c r="J468" s="3"/>
      <c r="K468" s="3"/>
      <c r="L468" s="3"/>
      <c r="M468" s="3"/>
    </row>
    <row r="469" spans="1:13">
      <c r="A469" s="3"/>
      <c r="B469" s="3"/>
      <c r="C469" s="3"/>
      <c r="D469" s="3"/>
      <c r="E469" s="3"/>
      <c r="F469" s="3"/>
      <c r="G469" s="3"/>
      <c r="H469" s="12"/>
      <c r="I469" s="3"/>
      <c r="J469" s="3"/>
      <c r="K469" s="3"/>
      <c r="L469" s="3"/>
      <c r="M469" s="3"/>
    </row>
    <row r="470" spans="1:13">
      <c r="A470" s="3"/>
      <c r="B470" s="3"/>
      <c r="C470" s="3"/>
      <c r="D470" s="3"/>
      <c r="E470" s="3"/>
      <c r="F470" s="3"/>
      <c r="G470" s="3"/>
      <c r="H470" s="12"/>
      <c r="I470" s="3"/>
      <c r="J470" s="3"/>
      <c r="K470" s="3"/>
      <c r="L470" s="3"/>
      <c r="M470" s="3"/>
    </row>
    <row r="471" spans="1:13">
      <c r="A471" s="3"/>
      <c r="B471" s="3"/>
      <c r="C471" s="3"/>
      <c r="D471" s="3"/>
      <c r="E471" s="3"/>
      <c r="F471" s="3"/>
      <c r="G471" s="3"/>
      <c r="H471" s="12"/>
      <c r="I471" s="3"/>
      <c r="J471" s="3"/>
      <c r="K471" s="3"/>
      <c r="L471" s="3"/>
      <c r="M471" s="3"/>
    </row>
    <row r="472" spans="1:13">
      <c r="A472" s="3"/>
      <c r="B472" s="3"/>
      <c r="C472" s="3"/>
      <c r="D472" s="3"/>
      <c r="E472" s="3"/>
      <c r="F472" s="3"/>
      <c r="G472" s="3"/>
      <c r="H472" s="12"/>
      <c r="I472" s="3"/>
      <c r="J472" s="3"/>
      <c r="K472" s="3"/>
      <c r="L472" s="3"/>
      <c r="M472" s="3"/>
    </row>
    <row r="473" spans="1:13">
      <c r="A473" s="3"/>
      <c r="B473" s="3"/>
      <c r="C473" s="3"/>
      <c r="D473" s="3"/>
      <c r="E473" s="3"/>
      <c r="F473" s="3"/>
      <c r="G473" s="3"/>
      <c r="H473" s="12"/>
      <c r="I473" s="3"/>
      <c r="J473" s="3"/>
      <c r="K473" s="3"/>
      <c r="L473" s="3"/>
      <c r="M473" s="3"/>
    </row>
    <row r="474" spans="1:13">
      <c r="A474" s="3"/>
      <c r="B474" s="3"/>
      <c r="C474" s="3"/>
      <c r="D474" s="3"/>
      <c r="E474" s="3"/>
      <c r="F474" s="3"/>
      <c r="G474" s="3"/>
      <c r="H474" s="12"/>
      <c r="I474" s="3"/>
      <c r="J474" s="3"/>
      <c r="K474" s="3"/>
      <c r="L474" s="3"/>
      <c r="M474" s="3"/>
    </row>
    <row r="475" spans="1:13">
      <c r="A475" s="3"/>
      <c r="B475" s="3"/>
      <c r="C475" s="3"/>
      <c r="D475" s="3"/>
      <c r="E475" s="3"/>
      <c r="F475" s="3"/>
      <c r="G475" s="3"/>
      <c r="H475" s="12"/>
      <c r="I475" s="3"/>
      <c r="J475" s="3"/>
      <c r="K475" s="3"/>
      <c r="L475" s="3"/>
      <c r="M475" s="3"/>
    </row>
    <row r="476" spans="1:13">
      <c r="A476" s="3"/>
      <c r="B476" s="3"/>
      <c r="C476" s="3"/>
      <c r="D476" s="3"/>
      <c r="E476" s="3"/>
      <c r="F476" s="3"/>
      <c r="G476" s="3"/>
      <c r="H476" s="12"/>
      <c r="I476" s="3"/>
      <c r="J476" s="3"/>
      <c r="K476" s="3"/>
      <c r="L476" s="3"/>
      <c r="M476" s="3"/>
    </row>
    <row r="477" spans="1:13">
      <c r="A477" s="3"/>
      <c r="B477" s="3"/>
      <c r="C477" s="3"/>
      <c r="D477" s="3"/>
      <c r="E477" s="3"/>
      <c r="F477" s="3"/>
      <c r="G477" s="3"/>
      <c r="H477" s="12"/>
      <c r="I477" s="3"/>
      <c r="J477" s="3"/>
      <c r="K477" s="3"/>
      <c r="L477" s="3"/>
      <c r="M477" s="3"/>
    </row>
    <row r="478" spans="1:13">
      <c r="A478" s="3"/>
      <c r="B478" s="3"/>
      <c r="C478" s="3"/>
      <c r="D478" s="3"/>
      <c r="E478" s="3"/>
      <c r="F478" s="3"/>
      <c r="G478" s="3"/>
      <c r="H478" s="12"/>
      <c r="I478" s="3"/>
      <c r="J478" s="3"/>
      <c r="K478" s="3"/>
      <c r="L478" s="3"/>
      <c r="M478" s="3"/>
    </row>
    <row r="479" spans="1:13">
      <c r="A479" s="3"/>
      <c r="B479" s="3"/>
      <c r="C479" s="3"/>
      <c r="D479" s="3"/>
      <c r="E479" s="3"/>
      <c r="F479" s="3"/>
      <c r="G479" s="3"/>
      <c r="H479" s="12"/>
      <c r="I479" s="3"/>
      <c r="J479" s="3"/>
      <c r="K479" s="3"/>
      <c r="L479" s="3"/>
      <c r="M479" s="3"/>
    </row>
    <row r="480" spans="1:13">
      <c r="A480" s="3"/>
      <c r="B480" s="3"/>
      <c r="C480" s="3"/>
      <c r="D480" s="3"/>
      <c r="E480" s="3"/>
      <c r="F480" s="3"/>
      <c r="G480" s="3"/>
      <c r="H480" s="12"/>
      <c r="I480" s="3"/>
      <c r="J480" s="3"/>
      <c r="K480" s="3"/>
      <c r="L480" s="3"/>
      <c r="M480" s="3"/>
    </row>
    <row r="481" spans="1:13">
      <c r="A481" s="3"/>
      <c r="B481" s="3"/>
      <c r="C481" s="3"/>
      <c r="D481" s="3"/>
      <c r="E481" s="3"/>
      <c r="F481" s="3"/>
      <c r="G481" s="3"/>
      <c r="H481" s="12"/>
      <c r="I481" s="3"/>
      <c r="J481" s="3"/>
      <c r="K481" s="3"/>
      <c r="L481" s="3"/>
      <c r="M481" s="3"/>
    </row>
    <row r="482" spans="1:13">
      <c r="A482" s="3"/>
      <c r="B482" s="3"/>
      <c r="C482" s="3"/>
      <c r="D482" s="3"/>
      <c r="E482" s="3"/>
      <c r="F482" s="3"/>
      <c r="G482" s="3"/>
      <c r="H482" s="12"/>
      <c r="I482" s="3"/>
      <c r="J482" s="3"/>
      <c r="K482" s="3"/>
      <c r="L482" s="3"/>
      <c r="M482" s="3"/>
    </row>
    <row r="483" spans="1:13">
      <c r="A483" s="3"/>
      <c r="B483" s="3"/>
      <c r="C483" s="3"/>
      <c r="D483" s="3"/>
      <c r="E483" s="3"/>
      <c r="F483" s="3"/>
      <c r="G483" s="3"/>
      <c r="H483" s="12"/>
      <c r="I483" s="3"/>
      <c r="J483" s="3"/>
      <c r="K483" s="3"/>
      <c r="L483" s="3"/>
      <c r="M483" s="3"/>
    </row>
    <row r="484" spans="1:13">
      <c r="A484" s="3"/>
      <c r="B484" s="3"/>
      <c r="C484" s="3"/>
      <c r="D484" s="3"/>
      <c r="E484" s="3"/>
      <c r="F484" s="3"/>
      <c r="G484" s="3"/>
      <c r="H484" s="12"/>
      <c r="I484" s="3"/>
      <c r="J484" s="3"/>
      <c r="K484" s="3"/>
      <c r="L484" s="3"/>
      <c r="M484" s="3"/>
    </row>
    <row r="485" spans="1:13">
      <c r="A485" s="3"/>
      <c r="B485" s="3"/>
      <c r="C485" s="3"/>
      <c r="D485" s="3"/>
      <c r="E485" s="3"/>
      <c r="F485" s="3"/>
      <c r="G485" s="3"/>
      <c r="H485" s="12"/>
      <c r="I485" s="3"/>
      <c r="J485" s="3"/>
      <c r="K485" s="3"/>
      <c r="L485" s="3"/>
      <c r="M485" s="3"/>
    </row>
    <row r="486" spans="1:13">
      <c r="A486" s="3"/>
      <c r="B486" s="3"/>
      <c r="C486" s="3"/>
      <c r="D486" s="3"/>
      <c r="E486" s="3"/>
      <c r="F486" s="3"/>
      <c r="G486" s="3"/>
      <c r="H486" s="12"/>
      <c r="I486" s="3"/>
      <c r="J486" s="3"/>
      <c r="K486" s="3"/>
      <c r="L486" s="3"/>
      <c r="M486" s="3"/>
    </row>
    <row r="487" spans="1:13">
      <c r="A487" s="3"/>
      <c r="B487" s="3"/>
      <c r="C487" s="3"/>
      <c r="D487" s="3"/>
      <c r="E487" s="3"/>
      <c r="F487" s="3"/>
      <c r="G487" s="3"/>
      <c r="H487" s="12"/>
      <c r="I487" s="3"/>
      <c r="J487" s="3"/>
      <c r="K487" s="3"/>
      <c r="L487" s="3"/>
      <c r="M487" s="3"/>
    </row>
    <row r="488" spans="1:13">
      <c r="A488" s="3"/>
      <c r="B488" s="3"/>
      <c r="C488" s="3"/>
      <c r="D488" s="3"/>
      <c r="E488" s="3"/>
      <c r="F488" s="3"/>
      <c r="G488" s="3"/>
      <c r="H488" s="12"/>
      <c r="I488" s="3"/>
      <c r="J488" s="3"/>
      <c r="K488" s="3"/>
      <c r="L488" s="3"/>
      <c r="M488" s="3"/>
    </row>
    <row r="489" spans="1:13">
      <c r="A489" s="3"/>
      <c r="B489" s="3"/>
      <c r="C489" s="3"/>
      <c r="D489" s="3"/>
      <c r="E489" s="3"/>
      <c r="F489" s="3"/>
      <c r="G489" s="3"/>
      <c r="H489" s="12"/>
      <c r="I489" s="3"/>
      <c r="J489" s="3"/>
      <c r="K489" s="3"/>
      <c r="L489" s="3"/>
      <c r="M489" s="3"/>
    </row>
    <row r="490" spans="1:13">
      <c r="A490" s="3"/>
      <c r="B490" s="3"/>
      <c r="C490" s="3"/>
      <c r="D490" s="3"/>
      <c r="E490" s="3"/>
      <c r="F490" s="3"/>
      <c r="G490" s="3"/>
      <c r="H490" s="12"/>
      <c r="I490" s="3"/>
      <c r="J490" s="3"/>
      <c r="K490" s="3"/>
      <c r="L490" s="3"/>
      <c r="M490" s="3"/>
    </row>
    <row r="491" spans="1:13">
      <c r="A491" s="3"/>
      <c r="B491" s="3"/>
      <c r="C491" s="3"/>
      <c r="D491" s="3"/>
      <c r="E491" s="3"/>
      <c r="F491" s="3"/>
      <c r="G491" s="3"/>
      <c r="H491" s="12"/>
      <c r="I491" s="3"/>
      <c r="J491" s="3"/>
      <c r="K491" s="3"/>
      <c r="L491" s="3"/>
      <c r="M491" s="3"/>
    </row>
    <row r="492" spans="1:13">
      <c r="A492" s="3"/>
      <c r="B492" s="3"/>
      <c r="C492" s="3"/>
      <c r="D492" s="3"/>
      <c r="E492" s="3"/>
      <c r="F492" s="3"/>
      <c r="G492" s="3"/>
      <c r="H492" s="12"/>
      <c r="I492" s="3"/>
      <c r="J492" s="3"/>
      <c r="K492" s="3"/>
      <c r="L492" s="3"/>
      <c r="M492" s="3"/>
    </row>
    <row r="493" spans="1:13">
      <c r="A493" s="3"/>
      <c r="B493" s="3"/>
      <c r="C493" s="3"/>
      <c r="D493" s="3"/>
      <c r="E493" s="3"/>
      <c r="F493" s="3"/>
      <c r="G493" s="3"/>
      <c r="H493" s="12"/>
      <c r="I493" s="3"/>
      <c r="J493" s="3"/>
      <c r="K493" s="3"/>
      <c r="L493" s="3"/>
      <c r="M493" s="3"/>
    </row>
    <row r="494" spans="1:13">
      <c r="A494" s="3"/>
      <c r="B494" s="3"/>
      <c r="C494" s="3"/>
      <c r="D494" s="3"/>
      <c r="E494" s="3"/>
      <c r="F494" s="3"/>
      <c r="G494" s="3"/>
      <c r="H494" s="12"/>
      <c r="I494" s="3"/>
      <c r="J494" s="3"/>
      <c r="K494" s="3"/>
      <c r="L494" s="3"/>
      <c r="M494" s="3"/>
    </row>
    <row r="495" spans="1:13">
      <c r="A495" s="3"/>
      <c r="B495" s="3"/>
      <c r="C495" s="3"/>
      <c r="D495" s="3"/>
      <c r="E495" s="3"/>
      <c r="F495" s="3"/>
      <c r="G495" s="3"/>
      <c r="H495" s="12"/>
      <c r="I495" s="3"/>
      <c r="J495" s="3"/>
      <c r="K495" s="3"/>
      <c r="L495" s="3"/>
      <c r="M495" s="3"/>
    </row>
    <row r="496" spans="1:13">
      <c r="A496" s="3"/>
      <c r="B496" s="3"/>
      <c r="C496" s="3"/>
      <c r="D496" s="3"/>
      <c r="E496" s="3"/>
      <c r="F496" s="3"/>
      <c r="G496" s="3"/>
      <c r="H496" s="12"/>
      <c r="I496" s="3"/>
      <c r="J496" s="3"/>
      <c r="K496" s="3"/>
      <c r="L496" s="3"/>
      <c r="M496" s="3"/>
    </row>
    <row r="497" spans="1:13">
      <c r="A497" s="3"/>
      <c r="B497" s="3"/>
      <c r="C497" s="3"/>
      <c r="D497" s="3"/>
      <c r="E497" s="3"/>
      <c r="F497" s="3"/>
      <c r="G497" s="3"/>
      <c r="H497" s="12"/>
      <c r="I497" s="3"/>
      <c r="J497" s="3"/>
      <c r="K497" s="3"/>
      <c r="L497" s="3"/>
      <c r="M497" s="3"/>
    </row>
    <row r="498" spans="1:13">
      <c r="A498" s="3"/>
      <c r="B498" s="3"/>
      <c r="C498" s="3"/>
      <c r="D498" s="3"/>
      <c r="E498" s="3"/>
      <c r="F498" s="3"/>
      <c r="G498" s="3"/>
      <c r="H498" s="12"/>
      <c r="I498" s="3"/>
      <c r="J498" s="3"/>
      <c r="K498" s="3"/>
      <c r="L498" s="3"/>
      <c r="M498" s="3"/>
    </row>
    <row r="499" spans="1:13">
      <c r="A499" s="3"/>
      <c r="B499" s="3"/>
      <c r="C499" s="3"/>
      <c r="D499" s="3"/>
      <c r="E499" s="3"/>
      <c r="F499" s="3"/>
      <c r="G499" s="3"/>
      <c r="H499" s="12"/>
      <c r="I499" s="3"/>
      <c r="J499" s="3"/>
      <c r="K499" s="3"/>
      <c r="L499" s="3"/>
      <c r="M499" s="3"/>
    </row>
    <row r="500" spans="1:13">
      <c r="A500" s="3"/>
      <c r="B500" s="3"/>
      <c r="C500" s="3"/>
      <c r="D500" s="3"/>
      <c r="E500" s="3"/>
      <c r="F500" s="3"/>
      <c r="G500" s="3"/>
      <c r="H500" s="12"/>
      <c r="I500" s="3"/>
      <c r="J500" s="3"/>
      <c r="K500" s="3"/>
      <c r="L500" s="3"/>
      <c r="M500" s="3"/>
    </row>
  </sheetData>
  <mergeCells count="1">
    <mergeCell ref="A1:M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900-000000000000}">
          <x14:formula1>
            <xm:f>Listes_Controlees!$G$4:$G$9</xm:f>
          </x14:formula1>
          <xm:sqref>C3:C500</xm:sqref>
        </x14:dataValidation>
        <x14:dataValidation type="list" xr:uid="{00000000-0002-0000-0900-000001000000}">
          <x14:formula1>
            <xm:f>Listes_Controlees!$H$4:$H$5</xm:f>
          </x14:formula1>
          <xm:sqref>J3:K500</xm:sqref>
        </x14:dataValidation>
        <x14:dataValidation type="list" xr:uid="{00000000-0002-0000-0900-000002000000}">
          <x14:formula1>
            <xm:f>Listes_Controlees!$A$4:$A$8</xm:f>
          </x14:formula1>
          <xm:sqref>M3:M500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0"/>
  <sheetViews>
    <sheetView workbookViewId="0"/>
  </sheetViews>
  <sheetFormatPr defaultRowHeight="14"/>
  <cols>
    <col min="1" max="1" width="16" customWidth="1"/>
    <col min="2" max="2" width="12" customWidth="1"/>
    <col min="3" max="3" width="18" customWidth="1"/>
    <col min="4" max="4" width="24" customWidth="1"/>
    <col min="5" max="5" width="20" customWidth="1"/>
    <col min="6" max="6" width="42" customWidth="1"/>
    <col min="7" max="7" width="38" customWidth="1"/>
    <col min="8" max="8" width="18" customWidth="1"/>
    <col min="9" max="9" width="20" customWidth="1"/>
    <col min="10" max="11" width="18" customWidth="1"/>
    <col min="12" max="12" width="16" customWidth="1"/>
  </cols>
  <sheetData>
    <row r="1" spans="1:12" ht="19">
      <c r="A1" s="15" t="s">
        <v>929</v>
      </c>
      <c r="B1" s="15" t="s">
        <v>929</v>
      </c>
      <c r="C1" s="15" t="s">
        <v>929</v>
      </c>
      <c r="D1" s="15" t="s">
        <v>929</v>
      </c>
      <c r="E1" s="15" t="s">
        <v>929</v>
      </c>
      <c r="F1" s="15" t="s">
        <v>929</v>
      </c>
      <c r="G1" s="15" t="s">
        <v>929</v>
      </c>
      <c r="H1" s="15" t="s">
        <v>929</v>
      </c>
      <c r="I1" s="15" t="s">
        <v>929</v>
      </c>
      <c r="J1" s="15" t="s">
        <v>929</v>
      </c>
      <c r="K1" s="15" t="s">
        <v>929</v>
      </c>
      <c r="L1" s="15" t="s">
        <v>929</v>
      </c>
    </row>
    <row r="2" spans="1:12" ht="28">
      <c r="A2" s="11" t="s">
        <v>930</v>
      </c>
      <c r="B2" s="11" t="s">
        <v>864</v>
      </c>
      <c r="C2" s="11" t="s">
        <v>931</v>
      </c>
      <c r="D2" s="11" t="s">
        <v>932</v>
      </c>
      <c r="E2" s="11" t="s">
        <v>933</v>
      </c>
      <c r="F2" s="11" t="s">
        <v>934</v>
      </c>
      <c r="G2" s="11" t="s">
        <v>836</v>
      </c>
      <c r="H2" s="11" t="s">
        <v>935</v>
      </c>
      <c r="I2" s="11" t="s">
        <v>936</v>
      </c>
      <c r="J2" s="11" t="s">
        <v>937</v>
      </c>
      <c r="K2" s="11" t="s">
        <v>938</v>
      </c>
      <c r="L2" s="11" t="s">
        <v>39</v>
      </c>
    </row>
    <row r="3" spans="1:12">
      <c r="A3" s="3"/>
      <c r="B3" s="3"/>
      <c r="C3" s="3"/>
      <c r="D3" s="3"/>
      <c r="E3" s="3"/>
      <c r="F3" s="3"/>
      <c r="G3" s="3"/>
      <c r="H3" s="12"/>
      <c r="I3" s="12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12"/>
      <c r="I4" s="12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12"/>
      <c r="I5" s="12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12"/>
      <c r="I6" s="12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12"/>
      <c r="I7" s="12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12"/>
      <c r="I8" s="12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12"/>
      <c r="I9" s="12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12"/>
      <c r="I10" s="12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12"/>
      <c r="I11" s="12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12"/>
      <c r="I12" s="12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12"/>
      <c r="I13" s="12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12"/>
      <c r="I14" s="12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12"/>
      <c r="I15" s="12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12"/>
      <c r="I16" s="12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12"/>
      <c r="I17" s="12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12"/>
      <c r="I18" s="12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12"/>
      <c r="I19" s="12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12"/>
      <c r="I20" s="12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12"/>
      <c r="I21" s="12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12"/>
      <c r="I22" s="12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12"/>
      <c r="I23" s="12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12"/>
      <c r="I24" s="12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12"/>
      <c r="I25" s="12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12"/>
      <c r="I26" s="12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12"/>
      <c r="I27" s="12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12"/>
      <c r="I28" s="12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12"/>
      <c r="I29" s="12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12"/>
      <c r="I30" s="12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12"/>
      <c r="I31" s="12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12"/>
      <c r="I32" s="12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12"/>
      <c r="I33" s="12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12"/>
      <c r="I34" s="12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12"/>
      <c r="I35" s="12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12"/>
      <c r="I36" s="12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12"/>
      <c r="I37" s="12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12"/>
      <c r="I38" s="12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12"/>
      <c r="I39" s="12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12"/>
      <c r="I40" s="12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12"/>
      <c r="I41" s="12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12"/>
      <c r="I42" s="12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12"/>
      <c r="I43" s="12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12"/>
      <c r="I44" s="12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12"/>
      <c r="I45" s="12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12"/>
      <c r="I46" s="12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12"/>
      <c r="I47" s="12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12"/>
      <c r="I48" s="12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12"/>
      <c r="I49" s="12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12"/>
      <c r="I50" s="12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12"/>
      <c r="I51" s="12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12"/>
      <c r="I52" s="12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12"/>
      <c r="I53" s="12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12"/>
      <c r="I54" s="12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12"/>
      <c r="I55" s="12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12"/>
      <c r="I56" s="12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12"/>
      <c r="I57" s="12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12"/>
      <c r="I58" s="12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12"/>
      <c r="I59" s="12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12"/>
      <c r="I60" s="12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12"/>
      <c r="I61" s="12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12"/>
      <c r="I62" s="12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12"/>
      <c r="I63" s="12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12"/>
      <c r="I64" s="12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12"/>
      <c r="I65" s="12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12"/>
      <c r="I66" s="12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12"/>
      <c r="I67" s="12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12"/>
      <c r="I68" s="12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12"/>
      <c r="I69" s="12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12"/>
      <c r="I70" s="12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12"/>
      <c r="I71" s="12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12"/>
      <c r="I72" s="12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12"/>
      <c r="I73" s="12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12"/>
      <c r="I74" s="12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12"/>
      <c r="I75" s="12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12"/>
      <c r="I76" s="12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12"/>
      <c r="I77" s="12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12"/>
      <c r="I78" s="12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12"/>
      <c r="I79" s="12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12"/>
      <c r="I80" s="12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12"/>
      <c r="I81" s="12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12"/>
      <c r="I82" s="12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12"/>
      <c r="I83" s="12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12"/>
      <c r="I84" s="12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12"/>
      <c r="I85" s="12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12"/>
      <c r="I86" s="12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12"/>
      <c r="I87" s="12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12"/>
      <c r="I88" s="12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12"/>
      <c r="I89" s="12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12"/>
      <c r="I90" s="12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12"/>
      <c r="I91" s="12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12"/>
      <c r="I92" s="12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12"/>
      <c r="I93" s="12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12"/>
      <c r="I94" s="12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12"/>
      <c r="I95" s="12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12"/>
      <c r="I96" s="12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12"/>
      <c r="I97" s="12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12"/>
      <c r="I98" s="12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12"/>
      <c r="I99" s="12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12"/>
      <c r="I100" s="12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12"/>
      <c r="I101" s="12"/>
      <c r="J101" s="3"/>
      <c r="K101" s="3"/>
      <c r="L101" s="3"/>
    </row>
    <row r="102" spans="1:12">
      <c r="A102" s="3"/>
      <c r="B102" s="3"/>
      <c r="C102" s="3"/>
      <c r="D102" s="3"/>
      <c r="E102" s="3"/>
      <c r="F102" s="3"/>
      <c r="G102" s="3"/>
      <c r="H102" s="12"/>
      <c r="I102" s="12"/>
      <c r="J102" s="3"/>
      <c r="K102" s="3"/>
      <c r="L102" s="3"/>
    </row>
    <row r="103" spans="1:12">
      <c r="A103" s="3"/>
      <c r="B103" s="3"/>
      <c r="C103" s="3"/>
      <c r="D103" s="3"/>
      <c r="E103" s="3"/>
      <c r="F103" s="3"/>
      <c r="G103" s="3"/>
      <c r="H103" s="12"/>
      <c r="I103" s="12"/>
      <c r="J103" s="3"/>
      <c r="K103" s="3"/>
      <c r="L103" s="3"/>
    </row>
    <row r="104" spans="1:12">
      <c r="A104" s="3"/>
      <c r="B104" s="3"/>
      <c r="C104" s="3"/>
      <c r="D104" s="3"/>
      <c r="E104" s="3"/>
      <c r="F104" s="3"/>
      <c r="G104" s="3"/>
      <c r="H104" s="12"/>
      <c r="I104" s="12"/>
      <c r="J104" s="3"/>
      <c r="K104" s="3"/>
      <c r="L104" s="3"/>
    </row>
    <row r="105" spans="1:12">
      <c r="A105" s="3"/>
      <c r="B105" s="3"/>
      <c r="C105" s="3"/>
      <c r="D105" s="3"/>
      <c r="E105" s="3"/>
      <c r="F105" s="3"/>
      <c r="G105" s="3"/>
      <c r="H105" s="12"/>
      <c r="I105" s="12"/>
      <c r="J105" s="3"/>
      <c r="K105" s="3"/>
      <c r="L105" s="3"/>
    </row>
    <row r="106" spans="1:12">
      <c r="A106" s="3"/>
      <c r="B106" s="3"/>
      <c r="C106" s="3"/>
      <c r="D106" s="3"/>
      <c r="E106" s="3"/>
      <c r="F106" s="3"/>
      <c r="G106" s="3"/>
      <c r="H106" s="12"/>
      <c r="I106" s="12"/>
      <c r="J106" s="3"/>
      <c r="K106" s="3"/>
      <c r="L106" s="3"/>
    </row>
    <row r="107" spans="1:12">
      <c r="A107" s="3"/>
      <c r="B107" s="3"/>
      <c r="C107" s="3"/>
      <c r="D107" s="3"/>
      <c r="E107" s="3"/>
      <c r="F107" s="3"/>
      <c r="G107" s="3"/>
      <c r="H107" s="12"/>
      <c r="I107" s="12"/>
      <c r="J107" s="3"/>
      <c r="K107" s="3"/>
      <c r="L107" s="3"/>
    </row>
    <row r="108" spans="1:12">
      <c r="A108" s="3"/>
      <c r="B108" s="3"/>
      <c r="C108" s="3"/>
      <c r="D108" s="3"/>
      <c r="E108" s="3"/>
      <c r="F108" s="3"/>
      <c r="G108" s="3"/>
      <c r="H108" s="12"/>
      <c r="I108" s="12"/>
      <c r="J108" s="3"/>
      <c r="K108" s="3"/>
      <c r="L108" s="3"/>
    </row>
    <row r="109" spans="1:12">
      <c r="A109" s="3"/>
      <c r="B109" s="3"/>
      <c r="C109" s="3"/>
      <c r="D109" s="3"/>
      <c r="E109" s="3"/>
      <c r="F109" s="3"/>
      <c r="G109" s="3"/>
      <c r="H109" s="12"/>
      <c r="I109" s="12"/>
      <c r="J109" s="3"/>
      <c r="K109" s="3"/>
      <c r="L109" s="3"/>
    </row>
    <row r="110" spans="1:12">
      <c r="A110" s="3"/>
      <c r="B110" s="3"/>
      <c r="C110" s="3"/>
      <c r="D110" s="3"/>
      <c r="E110" s="3"/>
      <c r="F110" s="3"/>
      <c r="G110" s="3"/>
      <c r="H110" s="12"/>
      <c r="I110" s="12"/>
      <c r="J110" s="3"/>
      <c r="K110" s="3"/>
      <c r="L110" s="3"/>
    </row>
    <row r="111" spans="1:12">
      <c r="A111" s="3"/>
      <c r="B111" s="3"/>
      <c r="C111" s="3"/>
      <c r="D111" s="3"/>
      <c r="E111" s="3"/>
      <c r="F111" s="3"/>
      <c r="G111" s="3"/>
      <c r="H111" s="12"/>
      <c r="I111" s="12"/>
      <c r="J111" s="3"/>
      <c r="K111" s="3"/>
      <c r="L111" s="3"/>
    </row>
    <row r="112" spans="1:12">
      <c r="A112" s="3"/>
      <c r="B112" s="3"/>
      <c r="C112" s="3"/>
      <c r="D112" s="3"/>
      <c r="E112" s="3"/>
      <c r="F112" s="3"/>
      <c r="G112" s="3"/>
      <c r="H112" s="12"/>
      <c r="I112" s="12"/>
      <c r="J112" s="3"/>
      <c r="K112" s="3"/>
      <c r="L112" s="3"/>
    </row>
    <row r="113" spans="1:12">
      <c r="A113" s="3"/>
      <c r="B113" s="3"/>
      <c r="C113" s="3"/>
      <c r="D113" s="3"/>
      <c r="E113" s="3"/>
      <c r="F113" s="3"/>
      <c r="G113" s="3"/>
      <c r="H113" s="12"/>
      <c r="I113" s="12"/>
      <c r="J113" s="3"/>
      <c r="K113" s="3"/>
      <c r="L113" s="3"/>
    </row>
    <row r="114" spans="1:12">
      <c r="A114" s="3"/>
      <c r="B114" s="3"/>
      <c r="C114" s="3"/>
      <c r="D114" s="3"/>
      <c r="E114" s="3"/>
      <c r="F114" s="3"/>
      <c r="G114" s="3"/>
      <c r="H114" s="12"/>
      <c r="I114" s="12"/>
      <c r="J114" s="3"/>
      <c r="K114" s="3"/>
      <c r="L114" s="3"/>
    </row>
    <row r="115" spans="1:12">
      <c r="A115" s="3"/>
      <c r="B115" s="3"/>
      <c r="C115" s="3"/>
      <c r="D115" s="3"/>
      <c r="E115" s="3"/>
      <c r="F115" s="3"/>
      <c r="G115" s="3"/>
      <c r="H115" s="12"/>
      <c r="I115" s="12"/>
      <c r="J115" s="3"/>
      <c r="K115" s="3"/>
      <c r="L115" s="3"/>
    </row>
    <row r="116" spans="1:12">
      <c r="A116" s="3"/>
      <c r="B116" s="3"/>
      <c r="C116" s="3"/>
      <c r="D116" s="3"/>
      <c r="E116" s="3"/>
      <c r="F116" s="3"/>
      <c r="G116" s="3"/>
      <c r="H116" s="12"/>
      <c r="I116" s="12"/>
      <c r="J116" s="3"/>
      <c r="K116" s="3"/>
      <c r="L116" s="3"/>
    </row>
    <row r="117" spans="1:12">
      <c r="A117" s="3"/>
      <c r="B117" s="3"/>
      <c r="C117" s="3"/>
      <c r="D117" s="3"/>
      <c r="E117" s="3"/>
      <c r="F117" s="3"/>
      <c r="G117" s="3"/>
      <c r="H117" s="12"/>
      <c r="I117" s="12"/>
      <c r="J117" s="3"/>
      <c r="K117" s="3"/>
      <c r="L117" s="3"/>
    </row>
    <row r="118" spans="1:12">
      <c r="A118" s="3"/>
      <c r="B118" s="3"/>
      <c r="C118" s="3"/>
      <c r="D118" s="3"/>
      <c r="E118" s="3"/>
      <c r="F118" s="3"/>
      <c r="G118" s="3"/>
      <c r="H118" s="12"/>
      <c r="I118" s="12"/>
      <c r="J118" s="3"/>
      <c r="K118" s="3"/>
      <c r="L118" s="3"/>
    </row>
    <row r="119" spans="1:12">
      <c r="A119" s="3"/>
      <c r="B119" s="3"/>
      <c r="C119" s="3"/>
      <c r="D119" s="3"/>
      <c r="E119" s="3"/>
      <c r="F119" s="3"/>
      <c r="G119" s="3"/>
      <c r="H119" s="12"/>
      <c r="I119" s="12"/>
      <c r="J119" s="3"/>
      <c r="K119" s="3"/>
      <c r="L119" s="3"/>
    </row>
    <row r="120" spans="1:12">
      <c r="A120" s="3"/>
      <c r="B120" s="3"/>
      <c r="C120" s="3"/>
      <c r="D120" s="3"/>
      <c r="E120" s="3"/>
      <c r="F120" s="3"/>
      <c r="G120" s="3"/>
      <c r="H120" s="12"/>
      <c r="I120" s="12"/>
      <c r="J120" s="3"/>
      <c r="K120" s="3"/>
      <c r="L120" s="3"/>
    </row>
    <row r="121" spans="1:12">
      <c r="A121" s="3"/>
      <c r="B121" s="3"/>
      <c r="C121" s="3"/>
      <c r="D121" s="3"/>
      <c r="E121" s="3"/>
      <c r="F121" s="3"/>
      <c r="G121" s="3"/>
      <c r="H121" s="12"/>
      <c r="I121" s="12"/>
      <c r="J121" s="3"/>
      <c r="K121" s="3"/>
      <c r="L121" s="3"/>
    </row>
    <row r="122" spans="1:12">
      <c r="A122" s="3"/>
      <c r="B122" s="3"/>
      <c r="C122" s="3"/>
      <c r="D122" s="3"/>
      <c r="E122" s="3"/>
      <c r="F122" s="3"/>
      <c r="G122" s="3"/>
      <c r="H122" s="12"/>
      <c r="I122" s="12"/>
      <c r="J122" s="3"/>
      <c r="K122" s="3"/>
      <c r="L122" s="3"/>
    </row>
    <row r="123" spans="1:12">
      <c r="A123" s="3"/>
      <c r="B123" s="3"/>
      <c r="C123" s="3"/>
      <c r="D123" s="3"/>
      <c r="E123" s="3"/>
      <c r="F123" s="3"/>
      <c r="G123" s="3"/>
      <c r="H123" s="12"/>
      <c r="I123" s="12"/>
      <c r="J123" s="3"/>
      <c r="K123" s="3"/>
      <c r="L123" s="3"/>
    </row>
    <row r="124" spans="1:12">
      <c r="A124" s="3"/>
      <c r="B124" s="3"/>
      <c r="C124" s="3"/>
      <c r="D124" s="3"/>
      <c r="E124" s="3"/>
      <c r="F124" s="3"/>
      <c r="G124" s="3"/>
      <c r="H124" s="12"/>
      <c r="I124" s="12"/>
      <c r="J124" s="3"/>
      <c r="K124" s="3"/>
      <c r="L124" s="3"/>
    </row>
    <row r="125" spans="1:12">
      <c r="A125" s="3"/>
      <c r="B125" s="3"/>
      <c r="C125" s="3"/>
      <c r="D125" s="3"/>
      <c r="E125" s="3"/>
      <c r="F125" s="3"/>
      <c r="G125" s="3"/>
      <c r="H125" s="12"/>
      <c r="I125" s="12"/>
      <c r="J125" s="3"/>
      <c r="K125" s="3"/>
      <c r="L125" s="3"/>
    </row>
    <row r="126" spans="1:12">
      <c r="A126" s="3"/>
      <c r="B126" s="3"/>
      <c r="C126" s="3"/>
      <c r="D126" s="3"/>
      <c r="E126" s="3"/>
      <c r="F126" s="3"/>
      <c r="G126" s="3"/>
      <c r="H126" s="12"/>
      <c r="I126" s="12"/>
      <c r="J126" s="3"/>
      <c r="K126" s="3"/>
      <c r="L126" s="3"/>
    </row>
    <row r="127" spans="1:12">
      <c r="A127" s="3"/>
      <c r="B127" s="3"/>
      <c r="C127" s="3"/>
      <c r="D127" s="3"/>
      <c r="E127" s="3"/>
      <c r="F127" s="3"/>
      <c r="G127" s="3"/>
      <c r="H127" s="12"/>
      <c r="I127" s="12"/>
      <c r="J127" s="3"/>
      <c r="K127" s="3"/>
      <c r="L127" s="3"/>
    </row>
    <row r="128" spans="1:12">
      <c r="A128" s="3"/>
      <c r="B128" s="3"/>
      <c r="C128" s="3"/>
      <c r="D128" s="3"/>
      <c r="E128" s="3"/>
      <c r="F128" s="3"/>
      <c r="G128" s="3"/>
      <c r="H128" s="12"/>
      <c r="I128" s="12"/>
      <c r="J128" s="3"/>
      <c r="K128" s="3"/>
      <c r="L128" s="3"/>
    </row>
    <row r="129" spans="1:12">
      <c r="A129" s="3"/>
      <c r="B129" s="3"/>
      <c r="C129" s="3"/>
      <c r="D129" s="3"/>
      <c r="E129" s="3"/>
      <c r="F129" s="3"/>
      <c r="G129" s="3"/>
      <c r="H129" s="12"/>
      <c r="I129" s="12"/>
      <c r="J129" s="3"/>
      <c r="K129" s="3"/>
      <c r="L129" s="3"/>
    </row>
    <row r="130" spans="1:12">
      <c r="A130" s="3"/>
      <c r="B130" s="3"/>
      <c r="C130" s="3"/>
      <c r="D130" s="3"/>
      <c r="E130" s="3"/>
      <c r="F130" s="3"/>
      <c r="G130" s="3"/>
      <c r="H130" s="12"/>
      <c r="I130" s="12"/>
      <c r="J130" s="3"/>
      <c r="K130" s="3"/>
      <c r="L130" s="3"/>
    </row>
    <row r="131" spans="1:12">
      <c r="A131" s="3"/>
      <c r="B131" s="3"/>
      <c r="C131" s="3"/>
      <c r="D131" s="3"/>
      <c r="E131" s="3"/>
      <c r="F131" s="3"/>
      <c r="G131" s="3"/>
      <c r="H131" s="12"/>
      <c r="I131" s="12"/>
      <c r="J131" s="3"/>
      <c r="K131" s="3"/>
      <c r="L131" s="3"/>
    </row>
    <row r="132" spans="1:12">
      <c r="A132" s="3"/>
      <c r="B132" s="3"/>
      <c r="C132" s="3"/>
      <c r="D132" s="3"/>
      <c r="E132" s="3"/>
      <c r="F132" s="3"/>
      <c r="G132" s="3"/>
      <c r="H132" s="12"/>
      <c r="I132" s="12"/>
      <c r="J132" s="3"/>
      <c r="K132" s="3"/>
      <c r="L132" s="3"/>
    </row>
    <row r="133" spans="1:12">
      <c r="A133" s="3"/>
      <c r="B133" s="3"/>
      <c r="C133" s="3"/>
      <c r="D133" s="3"/>
      <c r="E133" s="3"/>
      <c r="F133" s="3"/>
      <c r="G133" s="3"/>
      <c r="H133" s="12"/>
      <c r="I133" s="12"/>
      <c r="J133" s="3"/>
      <c r="K133" s="3"/>
      <c r="L133" s="3"/>
    </row>
    <row r="134" spans="1:12">
      <c r="A134" s="3"/>
      <c r="B134" s="3"/>
      <c r="C134" s="3"/>
      <c r="D134" s="3"/>
      <c r="E134" s="3"/>
      <c r="F134" s="3"/>
      <c r="G134" s="3"/>
      <c r="H134" s="12"/>
      <c r="I134" s="12"/>
      <c r="J134" s="3"/>
      <c r="K134" s="3"/>
      <c r="L134" s="3"/>
    </row>
    <row r="135" spans="1:12">
      <c r="A135" s="3"/>
      <c r="B135" s="3"/>
      <c r="C135" s="3"/>
      <c r="D135" s="3"/>
      <c r="E135" s="3"/>
      <c r="F135" s="3"/>
      <c r="G135" s="3"/>
      <c r="H135" s="12"/>
      <c r="I135" s="12"/>
      <c r="J135" s="3"/>
      <c r="K135" s="3"/>
      <c r="L135" s="3"/>
    </row>
    <row r="136" spans="1:12">
      <c r="A136" s="3"/>
      <c r="B136" s="3"/>
      <c r="C136" s="3"/>
      <c r="D136" s="3"/>
      <c r="E136" s="3"/>
      <c r="F136" s="3"/>
      <c r="G136" s="3"/>
      <c r="H136" s="12"/>
      <c r="I136" s="12"/>
      <c r="J136" s="3"/>
      <c r="K136" s="3"/>
      <c r="L136" s="3"/>
    </row>
    <row r="137" spans="1:12">
      <c r="A137" s="3"/>
      <c r="B137" s="3"/>
      <c r="C137" s="3"/>
      <c r="D137" s="3"/>
      <c r="E137" s="3"/>
      <c r="F137" s="3"/>
      <c r="G137" s="3"/>
      <c r="H137" s="12"/>
      <c r="I137" s="12"/>
      <c r="J137" s="3"/>
      <c r="K137" s="3"/>
      <c r="L137" s="3"/>
    </row>
    <row r="138" spans="1:12">
      <c r="A138" s="3"/>
      <c r="B138" s="3"/>
      <c r="C138" s="3"/>
      <c r="D138" s="3"/>
      <c r="E138" s="3"/>
      <c r="F138" s="3"/>
      <c r="G138" s="3"/>
      <c r="H138" s="12"/>
      <c r="I138" s="12"/>
      <c r="J138" s="3"/>
      <c r="K138" s="3"/>
      <c r="L138" s="3"/>
    </row>
    <row r="139" spans="1:12">
      <c r="A139" s="3"/>
      <c r="B139" s="3"/>
      <c r="C139" s="3"/>
      <c r="D139" s="3"/>
      <c r="E139" s="3"/>
      <c r="F139" s="3"/>
      <c r="G139" s="3"/>
      <c r="H139" s="12"/>
      <c r="I139" s="12"/>
      <c r="J139" s="3"/>
      <c r="K139" s="3"/>
      <c r="L139" s="3"/>
    </row>
    <row r="140" spans="1:12">
      <c r="A140" s="3"/>
      <c r="B140" s="3"/>
      <c r="C140" s="3"/>
      <c r="D140" s="3"/>
      <c r="E140" s="3"/>
      <c r="F140" s="3"/>
      <c r="G140" s="3"/>
      <c r="H140" s="12"/>
      <c r="I140" s="12"/>
      <c r="J140" s="3"/>
      <c r="K140" s="3"/>
      <c r="L140" s="3"/>
    </row>
    <row r="141" spans="1:12">
      <c r="A141" s="3"/>
      <c r="B141" s="3"/>
      <c r="C141" s="3"/>
      <c r="D141" s="3"/>
      <c r="E141" s="3"/>
      <c r="F141" s="3"/>
      <c r="G141" s="3"/>
      <c r="H141" s="12"/>
      <c r="I141" s="12"/>
      <c r="J141" s="3"/>
      <c r="K141" s="3"/>
      <c r="L141" s="3"/>
    </row>
    <row r="142" spans="1:12">
      <c r="A142" s="3"/>
      <c r="B142" s="3"/>
      <c r="C142" s="3"/>
      <c r="D142" s="3"/>
      <c r="E142" s="3"/>
      <c r="F142" s="3"/>
      <c r="G142" s="3"/>
      <c r="H142" s="12"/>
      <c r="I142" s="12"/>
      <c r="J142" s="3"/>
      <c r="K142" s="3"/>
      <c r="L142" s="3"/>
    </row>
    <row r="143" spans="1:12">
      <c r="A143" s="3"/>
      <c r="B143" s="3"/>
      <c r="C143" s="3"/>
      <c r="D143" s="3"/>
      <c r="E143" s="3"/>
      <c r="F143" s="3"/>
      <c r="G143" s="3"/>
      <c r="H143" s="12"/>
      <c r="I143" s="12"/>
      <c r="J143" s="3"/>
      <c r="K143" s="3"/>
      <c r="L143" s="3"/>
    </row>
    <row r="144" spans="1:12">
      <c r="A144" s="3"/>
      <c r="B144" s="3"/>
      <c r="C144" s="3"/>
      <c r="D144" s="3"/>
      <c r="E144" s="3"/>
      <c r="F144" s="3"/>
      <c r="G144" s="3"/>
      <c r="H144" s="12"/>
      <c r="I144" s="12"/>
      <c r="J144" s="3"/>
      <c r="K144" s="3"/>
      <c r="L144" s="3"/>
    </row>
    <row r="145" spans="1:12">
      <c r="A145" s="3"/>
      <c r="B145" s="3"/>
      <c r="C145" s="3"/>
      <c r="D145" s="3"/>
      <c r="E145" s="3"/>
      <c r="F145" s="3"/>
      <c r="G145" s="3"/>
      <c r="H145" s="12"/>
      <c r="I145" s="12"/>
      <c r="J145" s="3"/>
      <c r="K145" s="3"/>
      <c r="L145" s="3"/>
    </row>
    <row r="146" spans="1:12">
      <c r="A146" s="3"/>
      <c r="B146" s="3"/>
      <c r="C146" s="3"/>
      <c r="D146" s="3"/>
      <c r="E146" s="3"/>
      <c r="F146" s="3"/>
      <c r="G146" s="3"/>
      <c r="H146" s="12"/>
      <c r="I146" s="12"/>
      <c r="J146" s="3"/>
      <c r="K146" s="3"/>
      <c r="L146" s="3"/>
    </row>
    <row r="147" spans="1:12">
      <c r="A147" s="3"/>
      <c r="B147" s="3"/>
      <c r="C147" s="3"/>
      <c r="D147" s="3"/>
      <c r="E147" s="3"/>
      <c r="F147" s="3"/>
      <c r="G147" s="3"/>
      <c r="H147" s="12"/>
      <c r="I147" s="12"/>
      <c r="J147" s="3"/>
      <c r="K147" s="3"/>
      <c r="L147" s="3"/>
    </row>
    <row r="148" spans="1:12">
      <c r="A148" s="3"/>
      <c r="B148" s="3"/>
      <c r="C148" s="3"/>
      <c r="D148" s="3"/>
      <c r="E148" s="3"/>
      <c r="F148" s="3"/>
      <c r="G148" s="3"/>
      <c r="H148" s="12"/>
      <c r="I148" s="12"/>
      <c r="J148" s="3"/>
      <c r="K148" s="3"/>
      <c r="L148" s="3"/>
    </row>
    <row r="149" spans="1:12">
      <c r="A149" s="3"/>
      <c r="B149" s="3"/>
      <c r="C149" s="3"/>
      <c r="D149" s="3"/>
      <c r="E149" s="3"/>
      <c r="F149" s="3"/>
      <c r="G149" s="3"/>
      <c r="H149" s="12"/>
      <c r="I149" s="12"/>
      <c r="J149" s="3"/>
      <c r="K149" s="3"/>
      <c r="L149" s="3"/>
    </row>
    <row r="150" spans="1:12">
      <c r="A150" s="3"/>
      <c r="B150" s="3"/>
      <c r="C150" s="3"/>
      <c r="D150" s="3"/>
      <c r="E150" s="3"/>
      <c r="F150" s="3"/>
      <c r="G150" s="3"/>
      <c r="H150" s="12"/>
      <c r="I150" s="12"/>
      <c r="J150" s="3"/>
      <c r="K150" s="3"/>
      <c r="L150" s="3"/>
    </row>
    <row r="151" spans="1:12">
      <c r="A151" s="3"/>
      <c r="B151" s="3"/>
      <c r="C151" s="3"/>
      <c r="D151" s="3"/>
      <c r="E151" s="3"/>
      <c r="F151" s="3"/>
      <c r="G151" s="3"/>
      <c r="H151" s="12"/>
      <c r="I151" s="12"/>
      <c r="J151" s="3"/>
      <c r="K151" s="3"/>
      <c r="L151" s="3"/>
    </row>
    <row r="152" spans="1:12">
      <c r="A152" s="3"/>
      <c r="B152" s="3"/>
      <c r="C152" s="3"/>
      <c r="D152" s="3"/>
      <c r="E152" s="3"/>
      <c r="F152" s="3"/>
      <c r="G152" s="3"/>
      <c r="H152" s="12"/>
      <c r="I152" s="12"/>
      <c r="J152" s="3"/>
      <c r="K152" s="3"/>
      <c r="L152" s="3"/>
    </row>
    <row r="153" spans="1:12">
      <c r="A153" s="3"/>
      <c r="B153" s="3"/>
      <c r="C153" s="3"/>
      <c r="D153" s="3"/>
      <c r="E153" s="3"/>
      <c r="F153" s="3"/>
      <c r="G153" s="3"/>
      <c r="H153" s="12"/>
      <c r="I153" s="12"/>
      <c r="J153" s="3"/>
      <c r="K153" s="3"/>
      <c r="L153" s="3"/>
    </row>
    <row r="154" spans="1:12">
      <c r="A154" s="3"/>
      <c r="B154" s="3"/>
      <c r="C154" s="3"/>
      <c r="D154" s="3"/>
      <c r="E154" s="3"/>
      <c r="F154" s="3"/>
      <c r="G154" s="3"/>
      <c r="H154" s="12"/>
      <c r="I154" s="12"/>
      <c r="J154" s="3"/>
      <c r="K154" s="3"/>
      <c r="L154" s="3"/>
    </row>
    <row r="155" spans="1:12">
      <c r="A155" s="3"/>
      <c r="B155" s="3"/>
      <c r="C155" s="3"/>
      <c r="D155" s="3"/>
      <c r="E155" s="3"/>
      <c r="F155" s="3"/>
      <c r="G155" s="3"/>
      <c r="H155" s="12"/>
      <c r="I155" s="12"/>
      <c r="J155" s="3"/>
      <c r="K155" s="3"/>
      <c r="L155" s="3"/>
    </row>
    <row r="156" spans="1:12">
      <c r="A156" s="3"/>
      <c r="B156" s="3"/>
      <c r="C156" s="3"/>
      <c r="D156" s="3"/>
      <c r="E156" s="3"/>
      <c r="F156" s="3"/>
      <c r="G156" s="3"/>
      <c r="H156" s="12"/>
      <c r="I156" s="12"/>
      <c r="J156" s="3"/>
      <c r="K156" s="3"/>
      <c r="L156" s="3"/>
    </row>
    <row r="157" spans="1:12">
      <c r="A157" s="3"/>
      <c r="B157" s="3"/>
      <c r="C157" s="3"/>
      <c r="D157" s="3"/>
      <c r="E157" s="3"/>
      <c r="F157" s="3"/>
      <c r="G157" s="3"/>
      <c r="H157" s="12"/>
      <c r="I157" s="12"/>
      <c r="J157" s="3"/>
      <c r="K157" s="3"/>
      <c r="L157" s="3"/>
    </row>
    <row r="158" spans="1:12">
      <c r="A158" s="3"/>
      <c r="B158" s="3"/>
      <c r="C158" s="3"/>
      <c r="D158" s="3"/>
      <c r="E158" s="3"/>
      <c r="F158" s="3"/>
      <c r="G158" s="3"/>
      <c r="H158" s="12"/>
      <c r="I158" s="12"/>
      <c r="J158" s="3"/>
      <c r="K158" s="3"/>
      <c r="L158" s="3"/>
    </row>
    <row r="159" spans="1:12">
      <c r="A159" s="3"/>
      <c r="B159" s="3"/>
      <c r="C159" s="3"/>
      <c r="D159" s="3"/>
      <c r="E159" s="3"/>
      <c r="F159" s="3"/>
      <c r="G159" s="3"/>
      <c r="H159" s="12"/>
      <c r="I159" s="12"/>
      <c r="J159" s="3"/>
      <c r="K159" s="3"/>
      <c r="L159" s="3"/>
    </row>
    <row r="160" spans="1:12">
      <c r="A160" s="3"/>
      <c r="B160" s="3"/>
      <c r="C160" s="3"/>
      <c r="D160" s="3"/>
      <c r="E160" s="3"/>
      <c r="F160" s="3"/>
      <c r="G160" s="3"/>
      <c r="H160" s="12"/>
      <c r="I160" s="12"/>
      <c r="J160" s="3"/>
      <c r="K160" s="3"/>
      <c r="L160" s="3"/>
    </row>
    <row r="161" spans="1:12">
      <c r="A161" s="3"/>
      <c r="B161" s="3"/>
      <c r="C161" s="3"/>
      <c r="D161" s="3"/>
      <c r="E161" s="3"/>
      <c r="F161" s="3"/>
      <c r="G161" s="3"/>
      <c r="H161" s="12"/>
      <c r="I161" s="12"/>
      <c r="J161" s="3"/>
      <c r="K161" s="3"/>
      <c r="L161" s="3"/>
    </row>
    <row r="162" spans="1:12">
      <c r="A162" s="3"/>
      <c r="B162" s="3"/>
      <c r="C162" s="3"/>
      <c r="D162" s="3"/>
      <c r="E162" s="3"/>
      <c r="F162" s="3"/>
      <c r="G162" s="3"/>
      <c r="H162" s="12"/>
      <c r="I162" s="12"/>
      <c r="J162" s="3"/>
      <c r="K162" s="3"/>
      <c r="L162" s="3"/>
    </row>
    <row r="163" spans="1:12">
      <c r="A163" s="3"/>
      <c r="B163" s="3"/>
      <c r="C163" s="3"/>
      <c r="D163" s="3"/>
      <c r="E163" s="3"/>
      <c r="F163" s="3"/>
      <c r="G163" s="3"/>
      <c r="H163" s="12"/>
      <c r="I163" s="12"/>
      <c r="J163" s="3"/>
      <c r="K163" s="3"/>
      <c r="L163" s="3"/>
    </row>
    <row r="164" spans="1:12">
      <c r="A164" s="3"/>
      <c r="B164" s="3"/>
      <c r="C164" s="3"/>
      <c r="D164" s="3"/>
      <c r="E164" s="3"/>
      <c r="F164" s="3"/>
      <c r="G164" s="3"/>
      <c r="H164" s="12"/>
      <c r="I164" s="12"/>
      <c r="J164" s="3"/>
      <c r="K164" s="3"/>
      <c r="L164" s="3"/>
    </row>
    <row r="165" spans="1:12">
      <c r="A165" s="3"/>
      <c r="B165" s="3"/>
      <c r="C165" s="3"/>
      <c r="D165" s="3"/>
      <c r="E165" s="3"/>
      <c r="F165" s="3"/>
      <c r="G165" s="3"/>
      <c r="H165" s="12"/>
      <c r="I165" s="12"/>
      <c r="J165" s="3"/>
      <c r="K165" s="3"/>
      <c r="L165" s="3"/>
    </row>
    <row r="166" spans="1:12">
      <c r="A166" s="3"/>
      <c r="B166" s="3"/>
      <c r="C166" s="3"/>
      <c r="D166" s="3"/>
      <c r="E166" s="3"/>
      <c r="F166" s="3"/>
      <c r="G166" s="3"/>
      <c r="H166" s="12"/>
      <c r="I166" s="12"/>
      <c r="J166" s="3"/>
      <c r="K166" s="3"/>
      <c r="L166" s="3"/>
    </row>
    <row r="167" spans="1:12">
      <c r="A167" s="3"/>
      <c r="B167" s="3"/>
      <c r="C167" s="3"/>
      <c r="D167" s="3"/>
      <c r="E167" s="3"/>
      <c r="F167" s="3"/>
      <c r="G167" s="3"/>
      <c r="H167" s="12"/>
      <c r="I167" s="12"/>
      <c r="J167" s="3"/>
      <c r="K167" s="3"/>
      <c r="L167" s="3"/>
    </row>
    <row r="168" spans="1:12">
      <c r="A168" s="3"/>
      <c r="B168" s="3"/>
      <c r="C168" s="3"/>
      <c r="D168" s="3"/>
      <c r="E168" s="3"/>
      <c r="F168" s="3"/>
      <c r="G168" s="3"/>
      <c r="H168" s="12"/>
      <c r="I168" s="12"/>
      <c r="J168" s="3"/>
      <c r="K168" s="3"/>
      <c r="L168" s="3"/>
    </row>
    <row r="169" spans="1:12">
      <c r="A169" s="3"/>
      <c r="B169" s="3"/>
      <c r="C169" s="3"/>
      <c r="D169" s="3"/>
      <c r="E169" s="3"/>
      <c r="F169" s="3"/>
      <c r="G169" s="3"/>
      <c r="H169" s="12"/>
      <c r="I169" s="12"/>
      <c r="J169" s="3"/>
      <c r="K169" s="3"/>
      <c r="L169" s="3"/>
    </row>
    <row r="170" spans="1:12">
      <c r="A170" s="3"/>
      <c r="B170" s="3"/>
      <c r="C170" s="3"/>
      <c r="D170" s="3"/>
      <c r="E170" s="3"/>
      <c r="F170" s="3"/>
      <c r="G170" s="3"/>
      <c r="H170" s="12"/>
      <c r="I170" s="12"/>
      <c r="J170" s="3"/>
      <c r="K170" s="3"/>
      <c r="L170" s="3"/>
    </row>
    <row r="171" spans="1:12">
      <c r="A171" s="3"/>
      <c r="B171" s="3"/>
      <c r="C171" s="3"/>
      <c r="D171" s="3"/>
      <c r="E171" s="3"/>
      <c r="F171" s="3"/>
      <c r="G171" s="3"/>
      <c r="H171" s="12"/>
      <c r="I171" s="12"/>
      <c r="J171" s="3"/>
      <c r="K171" s="3"/>
      <c r="L171" s="3"/>
    </row>
    <row r="172" spans="1:12">
      <c r="A172" s="3"/>
      <c r="B172" s="3"/>
      <c r="C172" s="3"/>
      <c r="D172" s="3"/>
      <c r="E172" s="3"/>
      <c r="F172" s="3"/>
      <c r="G172" s="3"/>
      <c r="H172" s="12"/>
      <c r="I172" s="12"/>
      <c r="J172" s="3"/>
      <c r="K172" s="3"/>
      <c r="L172" s="3"/>
    </row>
    <row r="173" spans="1:12">
      <c r="A173" s="3"/>
      <c r="B173" s="3"/>
      <c r="C173" s="3"/>
      <c r="D173" s="3"/>
      <c r="E173" s="3"/>
      <c r="F173" s="3"/>
      <c r="G173" s="3"/>
      <c r="H173" s="12"/>
      <c r="I173" s="12"/>
      <c r="J173" s="3"/>
      <c r="K173" s="3"/>
      <c r="L173" s="3"/>
    </row>
    <row r="174" spans="1:12">
      <c r="A174" s="3"/>
      <c r="B174" s="3"/>
      <c r="C174" s="3"/>
      <c r="D174" s="3"/>
      <c r="E174" s="3"/>
      <c r="F174" s="3"/>
      <c r="G174" s="3"/>
      <c r="H174" s="12"/>
      <c r="I174" s="12"/>
      <c r="J174" s="3"/>
      <c r="K174" s="3"/>
      <c r="L174" s="3"/>
    </row>
    <row r="175" spans="1:12">
      <c r="A175" s="3"/>
      <c r="B175" s="3"/>
      <c r="C175" s="3"/>
      <c r="D175" s="3"/>
      <c r="E175" s="3"/>
      <c r="F175" s="3"/>
      <c r="G175" s="3"/>
      <c r="H175" s="12"/>
      <c r="I175" s="12"/>
      <c r="J175" s="3"/>
      <c r="K175" s="3"/>
      <c r="L175" s="3"/>
    </row>
    <row r="176" spans="1:12">
      <c r="A176" s="3"/>
      <c r="B176" s="3"/>
      <c r="C176" s="3"/>
      <c r="D176" s="3"/>
      <c r="E176" s="3"/>
      <c r="F176" s="3"/>
      <c r="G176" s="3"/>
      <c r="H176" s="12"/>
      <c r="I176" s="12"/>
      <c r="J176" s="3"/>
      <c r="K176" s="3"/>
      <c r="L176" s="3"/>
    </row>
    <row r="177" spans="1:12">
      <c r="A177" s="3"/>
      <c r="B177" s="3"/>
      <c r="C177" s="3"/>
      <c r="D177" s="3"/>
      <c r="E177" s="3"/>
      <c r="F177" s="3"/>
      <c r="G177" s="3"/>
      <c r="H177" s="12"/>
      <c r="I177" s="12"/>
      <c r="J177" s="3"/>
      <c r="K177" s="3"/>
      <c r="L177" s="3"/>
    </row>
    <row r="178" spans="1:12">
      <c r="A178" s="3"/>
      <c r="B178" s="3"/>
      <c r="C178" s="3"/>
      <c r="D178" s="3"/>
      <c r="E178" s="3"/>
      <c r="F178" s="3"/>
      <c r="G178" s="3"/>
      <c r="H178" s="12"/>
      <c r="I178" s="12"/>
      <c r="J178" s="3"/>
      <c r="K178" s="3"/>
      <c r="L178" s="3"/>
    </row>
    <row r="179" spans="1:12">
      <c r="A179" s="3"/>
      <c r="B179" s="3"/>
      <c r="C179" s="3"/>
      <c r="D179" s="3"/>
      <c r="E179" s="3"/>
      <c r="F179" s="3"/>
      <c r="G179" s="3"/>
      <c r="H179" s="12"/>
      <c r="I179" s="12"/>
      <c r="J179" s="3"/>
      <c r="K179" s="3"/>
      <c r="L179" s="3"/>
    </row>
    <row r="180" spans="1:12">
      <c r="A180" s="3"/>
      <c r="B180" s="3"/>
      <c r="C180" s="3"/>
      <c r="D180" s="3"/>
      <c r="E180" s="3"/>
      <c r="F180" s="3"/>
      <c r="G180" s="3"/>
      <c r="H180" s="12"/>
      <c r="I180" s="12"/>
      <c r="J180" s="3"/>
      <c r="K180" s="3"/>
      <c r="L180" s="3"/>
    </row>
    <row r="181" spans="1:12">
      <c r="A181" s="3"/>
      <c r="B181" s="3"/>
      <c r="C181" s="3"/>
      <c r="D181" s="3"/>
      <c r="E181" s="3"/>
      <c r="F181" s="3"/>
      <c r="G181" s="3"/>
      <c r="H181" s="12"/>
      <c r="I181" s="12"/>
      <c r="J181" s="3"/>
      <c r="K181" s="3"/>
      <c r="L181" s="3"/>
    </row>
    <row r="182" spans="1:12">
      <c r="A182" s="3"/>
      <c r="B182" s="3"/>
      <c r="C182" s="3"/>
      <c r="D182" s="3"/>
      <c r="E182" s="3"/>
      <c r="F182" s="3"/>
      <c r="G182" s="3"/>
      <c r="H182" s="12"/>
      <c r="I182" s="12"/>
      <c r="J182" s="3"/>
      <c r="K182" s="3"/>
      <c r="L182" s="3"/>
    </row>
    <row r="183" spans="1:12">
      <c r="A183" s="3"/>
      <c r="B183" s="3"/>
      <c r="C183" s="3"/>
      <c r="D183" s="3"/>
      <c r="E183" s="3"/>
      <c r="F183" s="3"/>
      <c r="G183" s="3"/>
      <c r="H183" s="12"/>
      <c r="I183" s="12"/>
      <c r="J183" s="3"/>
      <c r="K183" s="3"/>
      <c r="L183" s="3"/>
    </row>
    <row r="184" spans="1:12">
      <c r="A184" s="3"/>
      <c r="B184" s="3"/>
      <c r="C184" s="3"/>
      <c r="D184" s="3"/>
      <c r="E184" s="3"/>
      <c r="F184" s="3"/>
      <c r="G184" s="3"/>
      <c r="H184" s="12"/>
      <c r="I184" s="12"/>
      <c r="J184" s="3"/>
      <c r="K184" s="3"/>
      <c r="L184" s="3"/>
    </row>
    <row r="185" spans="1:12">
      <c r="A185" s="3"/>
      <c r="B185" s="3"/>
      <c r="C185" s="3"/>
      <c r="D185" s="3"/>
      <c r="E185" s="3"/>
      <c r="F185" s="3"/>
      <c r="G185" s="3"/>
      <c r="H185" s="12"/>
      <c r="I185" s="12"/>
      <c r="J185" s="3"/>
      <c r="K185" s="3"/>
      <c r="L185" s="3"/>
    </row>
    <row r="186" spans="1:12">
      <c r="A186" s="3"/>
      <c r="B186" s="3"/>
      <c r="C186" s="3"/>
      <c r="D186" s="3"/>
      <c r="E186" s="3"/>
      <c r="F186" s="3"/>
      <c r="G186" s="3"/>
      <c r="H186" s="12"/>
      <c r="I186" s="12"/>
      <c r="J186" s="3"/>
      <c r="K186" s="3"/>
      <c r="L186" s="3"/>
    </row>
    <row r="187" spans="1:12">
      <c r="A187" s="3"/>
      <c r="B187" s="3"/>
      <c r="C187" s="3"/>
      <c r="D187" s="3"/>
      <c r="E187" s="3"/>
      <c r="F187" s="3"/>
      <c r="G187" s="3"/>
      <c r="H187" s="12"/>
      <c r="I187" s="12"/>
      <c r="J187" s="3"/>
      <c r="K187" s="3"/>
      <c r="L187" s="3"/>
    </row>
    <row r="188" spans="1:12">
      <c r="A188" s="3"/>
      <c r="B188" s="3"/>
      <c r="C188" s="3"/>
      <c r="D188" s="3"/>
      <c r="E188" s="3"/>
      <c r="F188" s="3"/>
      <c r="G188" s="3"/>
      <c r="H188" s="12"/>
      <c r="I188" s="12"/>
      <c r="J188" s="3"/>
      <c r="K188" s="3"/>
      <c r="L188" s="3"/>
    </row>
    <row r="189" spans="1:12">
      <c r="A189" s="3"/>
      <c r="B189" s="3"/>
      <c r="C189" s="3"/>
      <c r="D189" s="3"/>
      <c r="E189" s="3"/>
      <c r="F189" s="3"/>
      <c r="G189" s="3"/>
      <c r="H189" s="12"/>
      <c r="I189" s="12"/>
      <c r="J189" s="3"/>
      <c r="K189" s="3"/>
      <c r="L189" s="3"/>
    </row>
    <row r="190" spans="1:12">
      <c r="A190" s="3"/>
      <c r="B190" s="3"/>
      <c r="C190" s="3"/>
      <c r="D190" s="3"/>
      <c r="E190" s="3"/>
      <c r="F190" s="3"/>
      <c r="G190" s="3"/>
      <c r="H190" s="12"/>
      <c r="I190" s="12"/>
      <c r="J190" s="3"/>
      <c r="K190" s="3"/>
      <c r="L190" s="3"/>
    </row>
    <row r="191" spans="1:12">
      <c r="A191" s="3"/>
      <c r="B191" s="3"/>
      <c r="C191" s="3"/>
      <c r="D191" s="3"/>
      <c r="E191" s="3"/>
      <c r="F191" s="3"/>
      <c r="G191" s="3"/>
      <c r="H191" s="12"/>
      <c r="I191" s="12"/>
      <c r="J191" s="3"/>
      <c r="K191" s="3"/>
      <c r="L191" s="3"/>
    </row>
    <row r="192" spans="1:12">
      <c r="A192" s="3"/>
      <c r="B192" s="3"/>
      <c r="C192" s="3"/>
      <c r="D192" s="3"/>
      <c r="E192" s="3"/>
      <c r="F192" s="3"/>
      <c r="G192" s="3"/>
      <c r="H192" s="12"/>
      <c r="I192" s="12"/>
      <c r="J192" s="3"/>
      <c r="K192" s="3"/>
      <c r="L192" s="3"/>
    </row>
    <row r="193" spans="1:12">
      <c r="A193" s="3"/>
      <c r="B193" s="3"/>
      <c r="C193" s="3"/>
      <c r="D193" s="3"/>
      <c r="E193" s="3"/>
      <c r="F193" s="3"/>
      <c r="G193" s="3"/>
      <c r="H193" s="12"/>
      <c r="I193" s="12"/>
      <c r="J193" s="3"/>
      <c r="K193" s="3"/>
      <c r="L193" s="3"/>
    </row>
    <row r="194" spans="1:12">
      <c r="A194" s="3"/>
      <c r="B194" s="3"/>
      <c r="C194" s="3"/>
      <c r="D194" s="3"/>
      <c r="E194" s="3"/>
      <c r="F194" s="3"/>
      <c r="G194" s="3"/>
      <c r="H194" s="12"/>
      <c r="I194" s="12"/>
      <c r="J194" s="3"/>
      <c r="K194" s="3"/>
      <c r="L194" s="3"/>
    </row>
    <row r="195" spans="1:12">
      <c r="A195" s="3"/>
      <c r="B195" s="3"/>
      <c r="C195" s="3"/>
      <c r="D195" s="3"/>
      <c r="E195" s="3"/>
      <c r="F195" s="3"/>
      <c r="G195" s="3"/>
      <c r="H195" s="12"/>
      <c r="I195" s="12"/>
      <c r="J195" s="3"/>
      <c r="K195" s="3"/>
      <c r="L195" s="3"/>
    </row>
    <row r="196" spans="1:12">
      <c r="A196" s="3"/>
      <c r="B196" s="3"/>
      <c r="C196" s="3"/>
      <c r="D196" s="3"/>
      <c r="E196" s="3"/>
      <c r="F196" s="3"/>
      <c r="G196" s="3"/>
      <c r="H196" s="12"/>
      <c r="I196" s="12"/>
      <c r="J196" s="3"/>
      <c r="K196" s="3"/>
      <c r="L196" s="3"/>
    </row>
    <row r="197" spans="1:12">
      <c r="A197" s="3"/>
      <c r="B197" s="3"/>
      <c r="C197" s="3"/>
      <c r="D197" s="3"/>
      <c r="E197" s="3"/>
      <c r="F197" s="3"/>
      <c r="G197" s="3"/>
      <c r="H197" s="12"/>
      <c r="I197" s="12"/>
      <c r="J197" s="3"/>
      <c r="K197" s="3"/>
      <c r="L197" s="3"/>
    </row>
    <row r="198" spans="1:12">
      <c r="A198" s="3"/>
      <c r="B198" s="3"/>
      <c r="C198" s="3"/>
      <c r="D198" s="3"/>
      <c r="E198" s="3"/>
      <c r="F198" s="3"/>
      <c r="G198" s="3"/>
      <c r="H198" s="12"/>
      <c r="I198" s="12"/>
      <c r="J198" s="3"/>
      <c r="K198" s="3"/>
      <c r="L198" s="3"/>
    </row>
    <row r="199" spans="1:12">
      <c r="A199" s="3"/>
      <c r="B199" s="3"/>
      <c r="C199" s="3"/>
      <c r="D199" s="3"/>
      <c r="E199" s="3"/>
      <c r="F199" s="3"/>
      <c r="G199" s="3"/>
      <c r="H199" s="12"/>
      <c r="I199" s="12"/>
      <c r="J199" s="3"/>
      <c r="K199" s="3"/>
      <c r="L199" s="3"/>
    </row>
    <row r="200" spans="1:12">
      <c r="A200" s="3"/>
      <c r="B200" s="3"/>
      <c r="C200" s="3"/>
      <c r="D200" s="3"/>
      <c r="E200" s="3"/>
      <c r="F200" s="3"/>
      <c r="G200" s="3"/>
      <c r="H200" s="12"/>
      <c r="I200" s="12"/>
      <c r="J200" s="3"/>
      <c r="K200" s="3"/>
      <c r="L200" s="3"/>
    </row>
    <row r="201" spans="1:12">
      <c r="A201" s="3"/>
      <c r="B201" s="3"/>
      <c r="C201" s="3"/>
      <c r="D201" s="3"/>
      <c r="E201" s="3"/>
      <c r="F201" s="3"/>
      <c r="G201" s="3"/>
      <c r="H201" s="12"/>
      <c r="I201" s="12"/>
      <c r="J201" s="3"/>
      <c r="K201" s="3"/>
      <c r="L201" s="3"/>
    </row>
    <row r="202" spans="1:12">
      <c r="A202" s="3"/>
      <c r="B202" s="3"/>
      <c r="C202" s="3"/>
      <c r="D202" s="3"/>
      <c r="E202" s="3"/>
      <c r="F202" s="3"/>
      <c r="G202" s="3"/>
      <c r="H202" s="12"/>
      <c r="I202" s="12"/>
      <c r="J202" s="3"/>
      <c r="K202" s="3"/>
      <c r="L202" s="3"/>
    </row>
    <row r="203" spans="1:12">
      <c r="A203" s="3"/>
      <c r="B203" s="3"/>
      <c r="C203" s="3"/>
      <c r="D203" s="3"/>
      <c r="E203" s="3"/>
      <c r="F203" s="3"/>
      <c r="G203" s="3"/>
      <c r="H203" s="12"/>
      <c r="I203" s="12"/>
      <c r="J203" s="3"/>
      <c r="K203" s="3"/>
      <c r="L203" s="3"/>
    </row>
    <row r="204" spans="1:12">
      <c r="A204" s="3"/>
      <c r="B204" s="3"/>
      <c r="C204" s="3"/>
      <c r="D204" s="3"/>
      <c r="E204" s="3"/>
      <c r="F204" s="3"/>
      <c r="G204" s="3"/>
      <c r="H204" s="12"/>
      <c r="I204" s="12"/>
      <c r="J204" s="3"/>
      <c r="K204" s="3"/>
      <c r="L204" s="3"/>
    </row>
    <row r="205" spans="1:12">
      <c r="A205" s="3"/>
      <c r="B205" s="3"/>
      <c r="C205" s="3"/>
      <c r="D205" s="3"/>
      <c r="E205" s="3"/>
      <c r="F205" s="3"/>
      <c r="G205" s="3"/>
      <c r="H205" s="12"/>
      <c r="I205" s="12"/>
      <c r="J205" s="3"/>
      <c r="K205" s="3"/>
      <c r="L205" s="3"/>
    </row>
    <row r="206" spans="1:12">
      <c r="A206" s="3"/>
      <c r="B206" s="3"/>
      <c r="C206" s="3"/>
      <c r="D206" s="3"/>
      <c r="E206" s="3"/>
      <c r="F206" s="3"/>
      <c r="G206" s="3"/>
      <c r="H206" s="12"/>
      <c r="I206" s="12"/>
      <c r="J206" s="3"/>
      <c r="K206" s="3"/>
      <c r="L206" s="3"/>
    </row>
    <row r="207" spans="1:12">
      <c r="A207" s="3"/>
      <c r="B207" s="3"/>
      <c r="C207" s="3"/>
      <c r="D207" s="3"/>
      <c r="E207" s="3"/>
      <c r="F207" s="3"/>
      <c r="G207" s="3"/>
      <c r="H207" s="12"/>
      <c r="I207" s="12"/>
      <c r="J207" s="3"/>
      <c r="K207" s="3"/>
      <c r="L207" s="3"/>
    </row>
    <row r="208" spans="1:12">
      <c r="A208" s="3"/>
      <c r="B208" s="3"/>
      <c r="C208" s="3"/>
      <c r="D208" s="3"/>
      <c r="E208" s="3"/>
      <c r="F208" s="3"/>
      <c r="G208" s="3"/>
      <c r="H208" s="12"/>
      <c r="I208" s="12"/>
      <c r="J208" s="3"/>
      <c r="K208" s="3"/>
      <c r="L208" s="3"/>
    </row>
    <row r="209" spans="1:12">
      <c r="A209" s="3"/>
      <c r="B209" s="3"/>
      <c r="C209" s="3"/>
      <c r="D209" s="3"/>
      <c r="E209" s="3"/>
      <c r="F209" s="3"/>
      <c r="G209" s="3"/>
      <c r="H209" s="12"/>
      <c r="I209" s="12"/>
      <c r="J209" s="3"/>
      <c r="K209" s="3"/>
      <c r="L209" s="3"/>
    </row>
    <row r="210" spans="1:12">
      <c r="A210" s="3"/>
      <c r="B210" s="3"/>
      <c r="C210" s="3"/>
      <c r="D210" s="3"/>
      <c r="E210" s="3"/>
      <c r="F210" s="3"/>
      <c r="G210" s="3"/>
      <c r="H210" s="12"/>
      <c r="I210" s="12"/>
      <c r="J210" s="3"/>
      <c r="K210" s="3"/>
      <c r="L210" s="3"/>
    </row>
    <row r="211" spans="1:12">
      <c r="A211" s="3"/>
      <c r="B211" s="3"/>
      <c r="C211" s="3"/>
      <c r="D211" s="3"/>
      <c r="E211" s="3"/>
      <c r="F211" s="3"/>
      <c r="G211" s="3"/>
      <c r="H211" s="12"/>
      <c r="I211" s="12"/>
      <c r="J211" s="3"/>
      <c r="K211" s="3"/>
      <c r="L211" s="3"/>
    </row>
    <row r="212" spans="1:12">
      <c r="A212" s="3"/>
      <c r="B212" s="3"/>
      <c r="C212" s="3"/>
      <c r="D212" s="3"/>
      <c r="E212" s="3"/>
      <c r="F212" s="3"/>
      <c r="G212" s="3"/>
      <c r="H212" s="12"/>
      <c r="I212" s="12"/>
      <c r="J212" s="3"/>
      <c r="K212" s="3"/>
      <c r="L212" s="3"/>
    </row>
    <row r="213" spans="1:12">
      <c r="A213" s="3"/>
      <c r="B213" s="3"/>
      <c r="C213" s="3"/>
      <c r="D213" s="3"/>
      <c r="E213" s="3"/>
      <c r="F213" s="3"/>
      <c r="G213" s="3"/>
      <c r="H213" s="12"/>
      <c r="I213" s="12"/>
      <c r="J213" s="3"/>
      <c r="K213" s="3"/>
      <c r="L213" s="3"/>
    </row>
    <row r="214" spans="1:12">
      <c r="A214" s="3"/>
      <c r="B214" s="3"/>
      <c r="C214" s="3"/>
      <c r="D214" s="3"/>
      <c r="E214" s="3"/>
      <c r="F214" s="3"/>
      <c r="G214" s="3"/>
      <c r="H214" s="12"/>
      <c r="I214" s="12"/>
      <c r="J214" s="3"/>
      <c r="K214" s="3"/>
      <c r="L214" s="3"/>
    </row>
    <row r="215" spans="1:12">
      <c r="A215" s="3"/>
      <c r="B215" s="3"/>
      <c r="C215" s="3"/>
      <c r="D215" s="3"/>
      <c r="E215" s="3"/>
      <c r="F215" s="3"/>
      <c r="G215" s="3"/>
      <c r="H215" s="12"/>
      <c r="I215" s="12"/>
      <c r="J215" s="3"/>
      <c r="K215" s="3"/>
      <c r="L215" s="3"/>
    </row>
    <row r="216" spans="1:12">
      <c r="A216" s="3"/>
      <c r="B216" s="3"/>
      <c r="C216" s="3"/>
      <c r="D216" s="3"/>
      <c r="E216" s="3"/>
      <c r="F216" s="3"/>
      <c r="G216" s="3"/>
      <c r="H216" s="12"/>
      <c r="I216" s="12"/>
      <c r="J216" s="3"/>
      <c r="K216" s="3"/>
      <c r="L216" s="3"/>
    </row>
    <row r="217" spans="1:12">
      <c r="A217" s="3"/>
      <c r="B217" s="3"/>
      <c r="C217" s="3"/>
      <c r="D217" s="3"/>
      <c r="E217" s="3"/>
      <c r="F217" s="3"/>
      <c r="G217" s="3"/>
      <c r="H217" s="12"/>
      <c r="I217" s="12"/>
      <c r="J217" s="3"/>
      <c r="K217" s="3"/>
      <c r="L217" s="3"/>
    </row>
    <row r="218" spans="1:12">
      <c r="A218" s="3"/>
      <c r="B218" s="3"/>
      <c r="C218" s="3"/>
      <c r="D218" s="3"/>
      <c r="E218" s="3"/>
      <c r="F218" s="3"/>
      <c r="G218" s="3"/>
      <c r="H218" s="12"/>
      <c r="I218" s="12"/>
      <c r="J218" s="3"/>
      <c r="K218" s="3"/>
      <c r="L218" s="3"/>
    </row>
    <row r="219" spans="1:12">
      <c r="A219" s="3"/>
      <c r="B219" s="3"/>
      <c r="C219" s="3"/>
      <c r="D219" s="3"/>
      <c r="E219" s="3"/>
      <c r="F219" s="3"/>
      <c r="G219" s="3"/>
      <c r="H219" s="12"/>
      <c r="I219" s="12"/>
      <c r="J219" s="3"/>
      <c r="K219" s="3"/>
      <c r="L219" s="3"/>
    </row>
    <row r="220" spans="1:12">
      <c r="A220" s="3"/>
      <c r="B220" s="3"/>
      <c r="C220" s="3"/>
      <c r="D220" s="3"/>
      <c r="E220" s="3"/>
      <c r="F220" s="3"/>
      <c r="G220" s="3"/>
      <c r="H220" s="12"/>
      <c r="I220" s="12"/>
      <c r="J220" s="3"/>
      <c r="K220" s="3"/>
      <c r="L220" s="3"/>
    </row>
    <row r="221" spans="1:12">
      <c r="A221" s="3"/>
      <c r="B221" s="3"/>
      <c r="C221" s="3"/>
      <c r="D221" s="3"/>
      <c r="E221" s="3"/>
      <c r="F221" s="3"/>
      <c r="G221" s="3"/>
      <c r="H221" s="12"/>
      <c r="I221" s="12"/>
      <c r="J221" s="3"/>
      <c r="K221" s="3"/>
      <c r="L221" s="3"/>
    </row>
    <row r="222" spans="1:12">
      <c r="A222" s="3"/>
      <c r="B222" s="3"/>
      <c r="C222" s="3"/>
      <c r="D222" s="3"/>
      <c r="E222" s="3"/>
      <c r="F222" s="3"/>
      <c r="G222" s="3"/>
      <c r="H222" s="12"/>
      <c r="I222" s="12"/>
      <c r="J222" s="3"/>
      <c r="K222" s="3"/>
      <c r="L222" s="3"/>
    </row>
    <row r="223" spans="1:12">
      <c r="A223" s="3"/>
      <c r="B223" s="3"/>
      <c r="C223" s="3"/>
      <c r="D223" s="3"/>
      <c r="E223" s="3"/>
      <c r="F223" s="3"/>
      <c r="G223" s="3"/>
      <c r="H223" s="12"/>
      <c r="I223" s="12"/>
      <c r="J223" s="3"/>
      <c r="K223" s="3"/>
      <c r="L223" s="3"/>
    </row>
    <row r="224" spans="1:12">
      <c r="A224" s="3"/>
      <c r="B224" s="3"/>
      <c r="C224" s="3"/>
      <c r="D224" s="3"/>
      <c r="E224" s="3"/>
      <c r="F224" s="3"/>
      <c r="G224" s="3"/>
      <c r="H224" s="12"/>
      <c r="I224" s="12"/>
      <c r="J224" s="3"/>
      <c r="K224" s="3"/>
      <c r="L224" s="3"/>
    </row>
    <row r="225" spans="1:12">
      <c r="A225" s="3"/>
      <c r="B225" s="3"/>
      <c r="C225" s="3"/>
      <c r="D225" s="3"/>
      <c r="E225" s="3"/>
      <c r="F225" s="3"/>
      <c r="G225" s="3"/>
      <c r="H225" s="12"/>
      <c r="I225" s="12"/>
      <c r="J225" s="3"/>
      <c r="K225" s="3"/>
      <c r="L225" s="3"/>
    </row>
    <row r="226" spans="1:12">
      <c r="A226" s="3"/>
      <c r="B226" s="3"/>
      <c r="C226" s="3"/>
      <c r="D226" s="3"/>
      <c r="E226" s="3"/>
      <c r="F226" s="3"/>
      <c r="G226" s="3"/>
      <c r="H226" s="12"/>
      <c r="I226" s="12"/>
      <c r="J226" s="3"/>
      <c r="K226" s="3"/>
      <c r="L226" s="3"/>
    </row>
    <row r="227" spans="1:12">
      <c r="A227" s="3"/>
      <c r="B227" s="3"/>
      <c r="C227" s="3"/>
      <c r="D227" s="3"/>
      <c r="E227" s="3"/>
      <c r="F227" s="3"/>
      <c r="G227" s="3"/>
      <c r="H227" s="12"/>
      <c r="I227" s="12"/>
      <c r="J227" s="3"/>
      <c r="K227" s="3"/>
      <c r="L227" s="3"/>
    </row>
    <row r="228" spans="1:12">
      <c r="A228" s="3"/>
      <c r="B228" s="3"/>
      <c r="C228" s="3"/>
      <c r="D228" s="3"/>
      <c r="E228" s="3"/>
      <c r="F228" s="3"/>
      <c r="G228" s="3"/>
      <c r="H228" s="12"/>
      <c r="I228" s="12"/>
      <c r="J228" s="3"/>
      <c r="K228" s="3"/>
      <c r="L228" s="3"/>
    </row>
    <row r="229" spans="1:12">
      <c r="A229" s="3"/>
      <c r="B229" s="3"/>
      <c r="C229" s="3"/>
      <c r="D229" s="3"/>
      <c r="E229" s="3"/>
      <c r="F229" s="3"/>
      <c r="G229" s="3"/>
      <c r="H229" s="12"/>
      <c r="I229" s="12"/>
      <c r="J229" s="3"/>
      <c r="K229" s="3"/>
      <c r="L229" s="3"/>
    </row>
    <row r="230" spans="1:12">
      <c r="A230" s="3"/>
      <c r="B230" s="3"/>
      <c r="C230" s="3"/>
      <c r="D230" s="3"/>
      <c r="E230" s="3"/>
      <c r="F230" s="3"/>
      <c r="G230" s="3"/>
      <c r="H230" s="12"/>
      <c r="I230" s="12"/>
      <c r="J230" s="3"/>
      <c r="K230" s="3"/>
      <c r="L230" s="3"/>
    </row>
    <row r="231" spans="1:12">
      <c r="A231" s="3"/>
      <c r="B231" s="3"/>
      <c r="C231" s="3"/>
      <c r="D231" s="3"/>
      <c r="E231" s="3"/>
      <c r="F231" s="3"/>
      <c r="G231" s="3"/>
      <c r="H231" s="12"/>
      <c r="I231" s="12"/>
      <c r="J231" s="3"/>
      <c r="K231" s="3"/>
      <c r="L231" s="3"/>
    </row>
    <row r="232" spans="1:12">
      <c r="A232" s="3"/>
      <c r="B232" s="3"/>
      <c r="C232" s="3"/>
      <c r="D232" s="3"/>
      <c r="E232" s="3"/>
      <c r="F232" s="3"/>
      <c r="G232" s="3"/>
      <c r="H232" s="12"/>
      <c r="I232" s="12"/>
      <c r="J232" s="3"/>
      <c r="K232" s="3"/>
      <c r="L232" s="3"/>
    </row>
    <row r="233" spans="1:12">
      <c r="A233" s="3"/>
      <c r="B233" s="3"/>
      <c r="C233" s="3"/>
      <c r="D233" s="3"/>
      <c r="E233" s="3"/>
      <c r="F233" s="3"/>
      <c r="G233" s="3"/>
      <c r="H233" s="12"/>
      <c r="I233" s="12"/>
      <c r="J233" s="3"/>
      <c r="K233" s="3"/>
      <c r="L233" s="3"/>
    </row>
    <row r="234" spans="1:12">
      <c r="A234" s="3"/>
      <c r="B234" s="3"/>
      <c r="C234" s="3"/>
      <c r="D234" s="3"/>
      <c r="E234" s="3"/>
      <c r="F234" s="3"/>
      <c r="G234" s="3"/>
      <c r="H234" s="12"/>
      <c r="I234" s="12"/>
      <c r="J234" s="3"/>
      <c r="K234" s="3"/>
      <c r="L234" s="3"/>
    </row>
    <row r="235" spans="1:12">
      <c r="A235" s="3"/>
      <c r="B235" s="3"/>
      <c r="C235" s="3"/>
      <c r="D235" s="3"/>
      <c r="E235" s="3"/>
      <c r="F235" s="3"/>
      <c r="G235" s="3"/>
      <c r="H235" s="12"/>
      <c r="I235" s="12"/>
      <c r="J235" s="3"/>
      <c r="K235" s="3"/>
      <c r="L235" s="3"/>
    </row>
    <row r="236" spans="1:12">
      <c r="A236" s="3"/>
      <c r="B236" s="3"/>
      <c r="C236" s="3"/>
      <c r="D236" s="3"/>
      <c r="E236" s="3"/>
      <c r="F236" s="3"/>
      <c r="G236" s="3"/>
      <c r="H236" s="12"/>
      <c r="I236" s="12"/>
      <c r="J236" s="3"/>
      <c r="K236" s="3"/>
      <c r="L236" s="3"/>
    </row>
    <row r="237" spans="1:12">
      <c r="A237" s="3"/>
      <c r="B237" s="3"/>
      <c r="C237" s="3"/>
      <c r="D237" s="3"/>
      <c r="E237" s="3"/>
      <c r="F237" s="3"/>
      <c r="G237" s="3"/>
      <c r="H237" s="12"/>
      <c r="I237" s="12"/>
      <c r="J237" s="3"/>
      <c r="K237" s="3"/>
      <c r="L237" s="3"/>
    </row>
    <row r="238" spans="1:12">
      <c r="A238" s="3"/>
      <c r="B238" s="3"/>
      <c r="C238" s="3"/>
      <c r="D238" s="3"/>
      <c r="E238" s="3"/>
      <c r="F238" s="3"/>
      <c r="G238" s="3"/>
      <c r="H238" s="12"/>
      <c r="I238" s="12"/>
      <c r="J238" s="3"/>
      <c r="K238" s="3"/>
      <c r="L238" s="3"/>
    </row>
    <row r="239" spans="1:12">
      <c r="A239" s="3"/>
      <c r="B239" s="3"/>
      <c r="C239" s="3"/>
      <c r="D239" s="3"/>
      <c r="E239" s="3"/>
      <c r="F239" s="3"/>
      <c r="G239" s="3"/>
      <c r="H239" s="12"/>
      <c r="I239" s="12"/>
      <c r="J239" s="3"/>
      <c r="K239" s="3"/>
      <c r="L239" s="3"/>
    </row>
    <row r="240" spans="1:12">
      <c r="A240" s="3"/>
      <c r="B240" s="3"/>
      <c r="C240" s="3"/>
      <c r="D240" s="3"/>
      <c r="E240" s="3"/>
      <c r="F240" s="3"/>
      <c r="G240" s="3"/>
      <c r="H240" s="12"/>
      <c r="I240" s="12"/>
      <c r="J240" s="3"/>
      <c r="K240" s="3"/>
      <c r="L240" s="3"/>
    </row>
    <row r="241" spans="1:12">
      <c r="A241" s="3"/>
      <c r="B241" s="3"/>
      <c r="C241" s="3"/>
      <c r="D241" s="3"/>
      <c r="E241" s="3"/>
      <c r="F241" s="3"/>
      <c r="G241" s="3"/>
      <c r="H241" s="12"/>
      <c r="I241" s="12"/>
      <c r="J241" s="3"/>
      <c r="K241" s="3"/>
      <c r="L241" s="3"/>
    </row>
    <row r="242" spans="1:12">
      <c r="A242" s="3"/>
      <c r="B242" s="3"/>
      <c r="C242" s="3"/>
      <c r="D242" s="3"/>
      <c r="E242" s="3"/>
      <c r="F242" s="3"/>
      <c r="G242" s="3"/>
      <c r="H242" s="12"/>
      <c r="I242" s="12"/>
      <c r="J242" s="3"/>
      <c r="K242" s="3"/>
      <c r="L242" s="3"/>
    </row>
    <row r="243" spans="1:12">
      <c r="A243" s="3"/>
      <c r="B243" s="3"/>
      <c r="C243" s="3"/>
      <c r="D243" s="3"/>
      <c r="E243" s="3"/>
      <c r="F243" s="3"/>
      <c r="G243" s="3"/>
      <c r="H243" s="12"/>
      <c r="I243" s="12"/>
      <c r="J243" s="3"/>
      <c r="K243" s="3"/>
      <c r="L243" s="3"/>
    </row>
    <row r="244" spans="1:12">
      <c r="A244" s="3"/>
      <c r="B244" s="3"/>
      <c r="C244" s="3"/>
      <c r="D244" s="3"/>
      <c r="E244" s="3"/>
      <c r="F244" s="3"/>
      <c r="G244" s="3"/>
      <c r="H244" s="12"/>
      <c r="I244" s="12"/>
      <c r="J244" s="3"/>
      <c r="K244" s="3"/>
      <c r="L244" s="3"/>
    </row>
    <row r="245" spans="1:12">
      <c r="A245" s="3"/>
      <c r="B245" s="3"/>
      <c r="C245" s="3"/>
      <c r="D245" s="3"/>
      <c r="E245" s="3"/>
      <c r="F245" s="3"/>
      <c r="G245" s="3"/>
      <c r="H245" s="12"/>
      <c r="I245" s="12"/>
      <c r="J245" s="3"/>
      <c r="K245" s="3"/>
      <c r="L245" s="3"/>
    </row>
    <row r="246" spans="1:12">
      <c r="A246" s="3"/>
      <c r="B246" s="3"/>
      <c r="C246" s="3"/>
      <c r="D246" s="3"/>
      <c r="E246" s="3"/>
      <c r="F246" s="3"/>
      <c r="G246" s="3"/>
      <c r="H246" s="12"/>
      <c r="I246" s="12"/>
      <c r="J246" s="3"/>
      <c r="K246" s="3"/>
      <c r="L246" s="3"/>
    </row>
    <row r="247" spans="1:12">
      <c r="A247" s="3"/>
      <c r="B247" s="3"/>
      <c r="C247" s="3"/>
      <c r="D247" s="3"/>
      <c r="E247" s="3"/>
      <c r="F247" s="3"/>
      <c r="G247" s="3"/>
      <c r="H247" s="12"/>
      <c r="I247" s="12"/>
      <c r="J247" s="3"/>
      <c r="K247" s="3"/>
      <c r="L247" s="3"/>
    </row>
    <row r="248" spans="1:12">
      <c r="A248" s="3"/>
      <c r="B248" s="3"/>
      <c r="C248" s="3"/>
      <c r="D248" s="3"/>
      <c r="E248" s="3"/>
      <c r="F248" s="3"/>
      <c r="G248" s="3"/>
      <c r="H248" s="12"/>
      <c r="I248" s="12"/>
      <c r="J248" s="3"/>
      <c r="K248" s="3"/>
      <c r="L248" s="3"/>
    </row>
    <row r="249" spans="1:12">
      <c r="A249" s="3"/>
      <c r="B249" s="3"/>
      <c r="C249" s="3"/>
      <c r="D249" s="3"/>
      <c r="E249" s="3"/>
      <c r="F249" s="3"/>
      <c r="G249" s="3"/>
      <c r="H249" s="12"/>
      <c r="I249" s="12"/>
      <c r="J249" s="3"/>
      <c r="K249" s="3"/>
      <c r="L249" s="3"/>
    </row>
    <row r="250" spans="1:12">
      <c r="A250" s="3"/>
      <c r="B250" s="3"/>
      <c r="C250" s="3"/>
      <c r="D250" s="3"/>
      <c r="E250" s="3"/>
      <c r="F250" s="3"/>
      <c r="G250" s="3"/>
      <c r="H250" s="12"/>
      <c r="I250" s="12"/>
      <c r="J250" s="3"/>
      <c r="K250" s="3"/>
      <c r="L250" s="3"/>
    </row>
    <row r="251" spans="1:12">
      <c r="A251" s="3"/>
      <c r="B251" s="3"/>
      <c r="C251" s="3"/>
      <c r="D251" s="3"/>
      <c r="E251" s="3"/>
      <c r="F251" s="3"/>
      <c r="G251" s="3"/>
      <c r="H251" s="12"/>
      <c r="I251" s="12"/>
      <c r="J251" s="3"/>
      <c r="K251" s="3"/>
      <c r="L251" s="3"/>
    </row>
    <row r="252" spans="1:12">
      <c r="A252" s="3"/>
      <c r="B252" s="3"/>
      <c r="C252" s="3"/>
      <c r="D252" s="3"/>
      <c r="E252" s="3"/>
      <c r="F252" s="3"/>
      <c r="G252" s="3"/>
      <c r="H252" s="12"/>
      <c r="I252" s="12"/>
      <c r="J252" s="3"/>
      <c r="K252" s="3"/>
      <c r="L252" s="3"/>
    </row>
    <row r="253" spans="1:12">
      <c r="A253" s="3"/>
      <c r="B253" s="3"/>
      <c r="C253" s="3"/>
      <c r="D253" s="3"/>
      <c r="E253" s="3"/>
      <c r="F253" s="3"/>
      <c r="G253" s="3"/>
      <c r="H253" s="12"/>
      <c r="I253" s="12"/>
      <c r="J253" s="3"/>
      <c r="K253" s="3"/>
      <c r="L253" s="3"/>
    </row>
    <row r="254" spans="1:12">
      <c r="A254" s="3"/>
      <c r="B254" s="3"/>
      <c r="C254" s="3"/>
      <c r="D254" s="3"/>
      <c r="E254" s="3"/>
      <c r="F254" s="3"/>
      <c r="G254" s="3"/>
      <c r="H254" s="12"/>
      <c r="I254" s="12"/>
      <c r="J254" s="3"/>
      <c r="K254" s="3"/>
      <c r="L254" s="3"/>
    </row>
    <row r="255" spans="1:12">
      <c r="A255" s="3"/>
      <c r="B255" s="3"/>
      <c r="C255" s="3"/>
      <c r="D255" s="3"/>
      <c r="E255" s="3"/>
      <c r="F255" s="3"/>
      <c r="G255" s="3"/>
      <c r="H255" s="12"/>
      <c r="I255" s="12"/>
      <c r="J255" s="3"/>
      <c r="K255" s="3"/>
      <c r="L255" s="3"/>
    </row>
    <row r="256" spans="1:12">
      <c r="A256" s="3"/>
      <c r="B256" s="3"/>
      <c r="C256" s="3"/>
      <c r="D256" s="3"/>
      <c r="E256" s="3"/>
      <c r="F256" s="3"/>
      <c r="G256" s="3"/>
      <c r="H256" s="12"/>
      <c r="I256" s="12"/>
      <c r="J256" s="3"/>
      <c r="K256" s="3"/>
      <c r="L256" s="3"/>
    </row>
    <row r="257" spans="1:12">
      <c r="A257" s="3"/>
      <c r="B257" s="3"/>
      <c r="C257" s="3"/>
      <c r="D257" s="3"/>
      <c r="E257" s="3"/>
      <c r="F257" s="3"/>
      <c r="G257" s="3"/>
      <c r="H257" s="12"/>
      <c r="I257" s="12"/>
      <c r="J257" s="3"/>
      <c r="K257" s="3"/>
      <c r="L257" s="3"/>
    </row>
    <row r="258" spans="1:12">
      <c r="A258" s="3"/>
      <c r="B258" s="3"/>
      <c r="C258" s="3"/>
      <c r="D258" s="3"/>
      <c r="E258" s="3"/>
      <c r="F258" s="3"/>
      <c r="G258" s="3"/>
      <c r="H258" s="12"/>
      <c r="I258" s="12"/>
      <c r="J258" s="3"/>
      <c r="K258" s="3"/>
      <c r="L258" s="3"/>
    </row>
    <row r="259" spans="1:12">
      <c r="A259" s="3"/>
      <c r="B259" s="3"/>
      <c r="C259" s="3"/>
      <c r="D259" s="3"/>
      <c r="E259" s="3"/>
      <c r="F259" s="3"/>
      <c r="G259" s="3"/>
      <c r="H259" s="12"/>
      <c r="I259" s="12"/>
      <c r="J259" s="3"/>
      <c r="K259" s="3"/>
      <c r="L259" s="3"/>
    </row>
    <row r="260" spans="1:12">
      <c r="A260" s="3"/>
      <c r="B260" s="3"/>
      <c r="C260" s="3"/>
      <c r="D260" s="3"/>
      <c r="E260" s="3"/>
      <c r="F260" s="3"/>
      <c r="G260" s="3"/>
      <c r="H260" s="12"/>
      <c r="I260" s="12"/>
      <c r="J260" s="3"/>
      <c r="K260" s="3"/>
      <c r="L260" s="3"/>
    </row>
    <row r="261" spans="1:12">
      <c r="A261" s="3"/>
      <c r="B261" s="3"/>
      <c r="C261" s="3"/>
      <c r="D261" s="3"/>
      <c r="E261" s="3"/>
      <c r="F261" s="3"/>
      <c r="G261" s="3"/>
      <c r="H261" s="12"/>
      <c r="I261" s="12"/>
      <c r="J261" s="3"/>
      <c r="K261" s="3"/>
      <c r="L261" s="3"/>
    </row>
    <row r="262" spans="1:12">
      <c r="A262" s="3"/>
      <c r="B262" s="3"/>
      <c r="C262" s="3"/>
      <c r="D262" s="3"/>
      <c r="E262" s="3"/>
      <c r="F262" s="3"/>
      <c r="G262" s="3"/>
      <c r="H262" s="12"/>
      <c r="I262" s="12"/>
      <c r="J262" s="3"/>
      <c r="K262" s="3"/>
      <c r="L262" s="3"/>
    </row>
    <row r="263" spans="1:12">
      <c r="A263" s="3"/>
      <c r="B263" s="3"/>
      <c r="C263" s="3"/>
      <c r="D263" s="3"/>
      <c r="E263" s="3"/>
      <c r="F263" s="3"/>
      <c r="G263" s="3"/>
      <c r="H263" s="12"/>
      <c r="I263" s="12"/>
      <c r="J263" s="3"/>
      <c r="K263" s="3"/>
      <c r="L263" s="3"/>
    </row>
    <row r="264" spans="1:12">
      <c r="A264" s="3"/>
      <c r="B264" s="3"/>
      <c r="C264" s="3"/>
      <c r="D264" s="3"/>
      <c r="E264" s="3"/>
      <c r="F264" s="3"/>
      <c r="G264" s="3"/>
      <c r="H264" s="12"/>
      <c r="I264" s="12"/>
      <c r="J264" s="3"/>
      <c r="K264" s="3"/>
      <c r="L264" s="3"/>
    </row>
    <row r="265" spans="1:12">
      <c r="A265" s="3"/>
      <c r="B265" s="3"/>
      <c r="C265" s="3"/>
      <c r="D265" s="3"/>
      <c r="E265" s="3"/>
      <c r="F265" s="3"/>
      <c r="G265" s="3"/>
      <c r="H265" s="12"/>
      <c r="I265" s="12"/>
      <c r="J265" s="3"/>
      <c r="K265" s="3"/>
      <c r="L265" s="3"/>
    </row>
    <row r="266" spans="1:12">
      <c r="A266" s="3"/>
      <c r="B266" s="3"/>
      <c r="C266" s="3"/>
      <c r="D266" s="3"/>
      <c r="E266" s="3"/>
      <c r="F266" s="3"/>
      <c r="G266" s="3"/>
      <c r="H266" s="12"/>
      <c r="I266" s="12"/>
      <c r="J266" s="3"/>
      <c r="K266" s="3"/>
      <c r="L266" s="3"/>
    </row>
    <row r="267" spans="1:12">
      <c r="A267" s="3"/>
      <c r="B267" s="3"/>
      <c r="C267" s="3"/>
      <c r="D267" s="3"/>
      <c r="E267" s="3"/>
      <c r="F267" s="3"/>
      <c r="G267" s="3"/>
      <c r="H267" s="12"/>
      <c r="I267" s="12"/>
      <c r="J267" s="3"/>
      <c r="K267" s="3"/>
      <c r="L267" s="3"/>
    </row>
    <row r="268" spans="1:12">
      <c r="A268" s="3"/>
      <c r="B268" s="3"/>
      <c r="C268" s="3"/>
      <c r="D268" s="3"/>
      <c r="E268" s="3"/>
      <c r="F268" s="3"/>
      <c r="G268" s="3"/>
      <c r="H268" s="12"/>
      <c r="I268" s="12"/>
      <c r="J268" s="3"/>
      <c r="K268" s="3"/>
      <c r="L268" s="3"/>
    </row>
    <row r="269" spans="1:12">
      <c r="A269" s="3"/>
      <c r="B269" s="3"/>
      <c r="C269" s="3"/>
      <c r="D269" s="3"/>
      <c r="E269" s="3"/>
      <c r="F269" s="3"/>
      <c r="G269" s="3"/>
      <c r="H269" s="12"/>
      <c r="I269" s="12"/>
      <c r="J269" s="3"/>
      <c r="K269" s="3"/>
      <c r="L269" s="3"/>
    </row>
    <row r="270" spans="1:12">
      <c r="A270" s="3"/>
      <c r="B270" s="3"/>
      <c r="C270" s="3"/>
      <c r="D270" s="3"/>
      <c r="E270" s="3"/>
      <c r="F270" s="3"/>
      <c r="G270" s="3"/>
      <c r="H270" s="12"/>
      <c r="I270" s="12"/>
      <c r="J270" s="3"/>
      <c r="K270" s="3"/>
      <c r="L270" s="3"/>
    </row>
    <row r="271" spans="1:12">
      <c r="A271" s="3"/>
      <c r="B271" s="3"/>
      <c r="C271" s="3"/>
      <c r="D271" s="3"/>
      <c r="E271" s="3"/>
      <c r="F271" s="3"/>
      <c r="G271" s="3"/>
      <c r="H271" s="12"/>
      <c r="I271" s="12"/>
      <c r="J271" s="3"/>
      <c r="K271" s="3"/>
      <c r="L271" s="3"/>
    </row>
    <row r="272" spans="1:12">
      <c r="A272" s="3"/>
      <c r="B272" s="3"/>
      <c r="C272" s="3"/>
      <c r="D272" s="3"/>
      <c r="E272" s="3"/>
      <c r="F272" s="3"/>
      <c r="G272" s="3"/>
      <c r="H272" s="12"/>
      <c r="I272" s="12"/>
      <c r="J272" s="3"/>
      <c r="K272" s="3"/>
      <c r="L272" s="3"/>
    </row>
    <row r="273" spans="1:12">
      <c r="A273" s="3"/>
      <c r="B273" s="3"/>
      <c r="C273" s="3"/>
      <c r="D273" s="3"/>
      <c r="E273" s="3"/>
      <c r="F273" s="3"/>
      <c r="G273" s="3"/>
      <c r="H273" s="12"/>
      <c r="I273" s="12"/>
      <c r="J273" s="3"/>
      <c r="K273" s="3"/>
      <c r="L273" s="3"/>
    </row>
    <row r="274" spans="1:12">
      <c r="A274" s="3"/>
      <c r="B274" s="3"/>
      <c r="C274" s="3"/>
      <c r="D274" s="3"/>
      <c r="E274" s="3"/>
      <c r="F274" s="3"/>
      <c r="G274" s="3"/>
      <c r="H274" s="12"/>
      <c r="I274" s="12"/>
      <c r="J274" s="3"/>
      <c r="K274" s="3"/>
      <c r="L274" s="3"/>
    </row>
    <row r="275" spans="1:12">
      <c r="A275" s="3"/>
      <c r="B275" s="3"/>
      <c r="C275" s="3"/>
      <c r="D275" s="3"/>
      <c r="E275" s="3"/>
      <c r="F275" s="3"/>
      <c r="G275" s="3"/>
      <c r="H275" s="12"/>
      <c r="I275" s="12"/>
      <c r="J275" s="3"/>
      <c r="K275" s="3"/>
      <c r="L275" s="3"/>
    </row>
    <row r="276" spans="1:12">
      <c r="A276" s="3"/>
      <c r="B276" s="3"/>
      <c r="C276" s="3"/>
      <c r="D276" s="3"/>
      <c r="E276" s="3"/>
      <c r="F276" s="3"/>
      <c r="G276" s="3"/>
      <c r="H276" s="12"/>
      <c r="I276" s="12"/>
      <c r="J276" s="3"/>
      <c r="K276" s="3"/>
      <c r="L276" s="3"/>
    </row>
    <row r="277" spans="1:12">
      <c r="A277" s="3"/>
      <c r="B277" s="3"/>
      <c r="C277" s="3"/>
      <c r="D277" s="3"/>
      <c r="E277" s="3"/>
      <c r="F277" s="3"/>
      <c r="G277" s="3"/>
      <c r="H277" s="12"/>
      <c r="I277" s="12"/>
      <c r="J277" s="3"/>
      <c r="K277" s="3"/>
      <c r="L277" s="3"/>
    </row>
    <row r="278" spans="1:12">
      <c r="A278" s="3"/>
      <c r="B278" s="3"/>
      <c r="C278" s="3"/>
      <c r="D278" s="3"/>
      <c r="E278" s="3"/>
      <c r="F278" s="3"/>
      <c r="G278" s="3"/>
      <c r="H278" s="12"/>
      <c r="I278" s="12"/>
      <c r="J278" s="3"/>
      <c r="K278" s="3"/>
      <c r="L278" s="3"/>
    </row>
    <row r="279" spans="1:12">
      <c r="A279" s="3"/>
      <c r="B279" s="3"/>
      <c r="C279" s="3"/>
      <c r="D279" s="3"/>
      <c r="E279" s="3"/>
      <c r="F279" s="3"/>
      <c r="G279" s="3"/>
      <c r="H279" s="12"/>
      <c r="I279" s="12"/>
      <c r="J279" s="3"/>
      <c r="K279" s="3"/>
      <c r="L279" s="3"/>
    </row>
    <row r="280" spans="1:12">
      <c r="A280" s="3"/>
      <c r="B280" s="3"/>
      <c r="C280" s="3"/>
      <c r="D280" s="3"/>
      <c r="E280" s="3"/>
      <c r="F280" s="3"/>
      <c r="G280" s="3"/>
      <c r="H280" s="12"/>
      <c r="I280" s="12"/>
      <c r="J280" s="3"/>
      <c r="K280" s="3"/>
      <c r="L280" s="3"/>
    </row>
    <row r="281" spans="1:12">
      <c r="A281" s="3"/>
      <c r="B281" s="3"/>
      <c r="C281" s="3"/>
      <c r="D281" s="3"/>
      <c r="E281" s="3"/>
      <c r="F281" s="3"/>
      <c r="G281" s="3"/>
      <c r="H281" s="12"/>
      <c r="I281" s="12"/>
      <c r="J281" s="3"/>
      <c r="K281" s="3"/>
      <c r="L281" s="3"/>
    </row>
    <row r="282" spans="1:12">
      <c r="A282" s="3"/>
      <c r="B282" s="3"/>
      <c r="C282" s="3"/>
      <c r="D282" s="3"/>
      <c r="E282" s="3"/>
      <c r="F282" s="3"/>
      <c r="G282" s="3"/>
      <c r="H282" s="12"/>
      <c r="I282" s="12"/>
      <c r="J282" s="3"/>
      <c r="K282" s="3"/>
      <c r="L282" s="3"/>
    </row>
    <row r="283" spans="1:12">
      <c r="A283" s="3"/>
      <c r="B283" s="3"/>
      <c r="C283" s="3"/>
      <c r="D283" s="3"/>
      <c r="E283" s="3"/>
      <c r="F283" s="3"/>
      <c r="G283" s="3"/>
      <c r="H283" s="12"/>
      <c r="I283" s="12"/>
      <c r="J283" s="3"/>
      <c r="K283" s="3"/>
      <c r="L283" s="3"/>
    </row>
    <row r="284" spans="1:12">
      <c r="A284" s="3"/>
      <c r="B284" s="3"/>
      <c r="C284" s="3"/>
      <c r="D284" s="3"/>
      <c r="E284" s="3"/>
      <c r="F284" s="3"/>
      <c r="G284" s="3"/>
      <c r="H284" s="12"/>
      <c r="I284" s="12"/>
      <c r="J284" s="3"/>
      <c r="K284" s="3"/>
      <c r="L284" s="3"/>
    </row>
    <row r="285" spans="1:12">
      <c r="A285" s="3"/>
      <c r="B285" s="3"/>
      <c r="C285" s="3"/>
      <c r="D285" s="3"/>
      <c r="E285" s="3"/>
      <c r="F285" s="3"/>
      <c r="G285" s="3"/>
      <c r="H285" s="12"/>
      <c r="I285" s="12"/>
      <c r="J285" s="3"/>
      <c r="K285" s="3"/>
      <c r="L285" s="3"/>
    </row>
    <row r="286" spans="1:12">
      <c r="A286" s="3"/>
      <c r="B286" s="3"/>
      <c r="C286" s="3"/>
      <c r="D286" s="3"/>
      <c r="E286" s="3"/>
      <c r="F286" s="3"/>
      <c r="G286" s="3"/>
      <c r="H286" s="12"/>
      <c r="I286" s="12"/>
      <c r="J286" s="3"/>
      <c r="K286" s="3"/>
      <c r="L286" s="3"/>
    </row>
    <row r="287" spans="1:12">
      <c r="A287" s="3"/>
      <c r="B287" s="3"/>
      <c r="C287" s="3"/>
      <c r="D287" s="3"/>
      <c r="E287" s="3"/>
      <c r="F287" s="3"/>
      <c r="G287" s="3"/>
      <c r="H287" s="12"/>
      <c r="I287" s="12"/>
      <c r="J287" s="3"/>
      <c r="K287" s="3"/>
      <c r="L287" s="3"/>
    </row>
    <row r="288" spans="1:12">
      <c r="A288" s="3"/>
      <c r="B288" s="3"/>
      <c r="C288" s="3"/>
      <c r="D288" s="3"/>
      <c r="E288" s="3"/>
      <c r="F288" s="3"/>
      <c r="G288" s="3"/>
      <c r="H288" s="12"/>
      <c r="I288" s="12"/>
      <c r="J288" s="3"/>
      <c r="K288" s="3"/>
      <c r="L288" s="3"/>
    </row>
    <row r="289" spans="1:12">
      <c r="A289" s="3"/>
      <c r="B289" s="3"/>
      <c r="C289" s="3"/>
      <c r="D289" s="3"/>
      <c r="E289" s="3"/>
      <c r="F289" s="3"/>
      <c r="G289" s="3"/>
      <c r="H289" s="12"/>
      <c r="I289" s="12"/>
      <c r="J289" s="3"/>
      <c r="K289" s="3"/>
      <c r="L289" s="3"/>
    </row>
    <row r="290" spans="1:12">
      <c r="A290" s="3"/>
      <c r="B290" s="3"/>
      <c r="C290" s="3"/>
      <c r="D290" s="3"/>
      <c r="E290" s="3"/>
      <c r="F290" s="3"/>
      <c r="G290" s="3"/>
      <c r="H290" s="12"/>
      <c r="I290" s="12"/>
      <c r="J290" s="3"/>
      <c r="K290" s="3"/>
      <c r="L290" s="3"/>
    </row>
    <row r="291" spans="1:12">
      <c r="A291" s="3"/>
      <c r="B291" s="3"/>
      <c r="C291" s="3"/>
      <c r="D291" s="3"/>
      <c r="E291" s="3"/>
      <c r="F291" s="3"/>
      <c r="G291" s="3"/>
      <c r="H291" s="12"/>
      <c r="I291" s="12"/>
      <c r="J291" s="3"/>
      <c r="K291" s="3"/>
      <c r="L291" s="3"/>
    </row>
    <row r="292" spans="1:12">
      <c r="A292" s="3"/>
      <c r="B292" s="3"/>
      <c r="C292" s="3"/>
      <c r="D292" s="3"/>
      <c r="E292" s="3"/>
      <c r="F292" s="3"/>
      <c r="G292" s="3"/>
      <c r="H292" s="12"/>
      <c r="I292" s="12"/>
      <c r="J292" s="3"/>
      <c r="K292" s="3"/>
      <c r="L292" s="3"/>
    </row>
    <row r="293" spans="1:12">
      <c r="A293" s="3"/>
      <c r="B293" s="3"/>
      <c r="C293" s="3"/>
      <c r="D293" s="3"/>
      <c r="E293" s="3"/>
      <c r="F293" s="3"/>
      <c r="G293" s="3"/>
      <c r="H293" s="12"/>
      <c r="I293" s="12"/>
      <c r="J293" s="3"/>
      <c r="K293" s="3"/>
      <c r="L293" s="3"/>
    </row>
    <row r="294" spans="1:12">
      <c r="A294" s="3"/>
      <c r="B294" s="3"/>
      <c r="C294" s="3"/>
      <c r="D294" s="3"/>
      <c r="E294" s="3"/>
      <c r="F294" s="3"/>
      <c r="G294" s="3"/>
      <c r="H294" s="12"/>
      <c r="I294" s="12"/>
      <c r="J294" s="3"/>
      <c r="K294" s="3"/>
      <c r="L294" s="3"/>
    </row>
    <row r="295" spans="1:12">
      <c r="A295" s="3"/>
      <c r="B295" s="3"/>
      <c r="C295" s="3"/>
      <c r="D295" s="3"/>
      <c r="E295" s="3"/>
      <c r="F295" s="3"/>
      <c r="G295" s="3"/>
      <c r="H295" s="12"/>
      <c r="I295" s="12"/>
      <c r="J295" s="3"/>
      <c r="K295" s="3"/>
      <c r="L295" s="3"/>
    </row>
    <row r="296" spans="1:12">
      <c r="A296" s="3"/>
      <c r="B296" s="3"/>
      <c r="C296" s="3"/>
      <c r="D296" s="3"/>
      <c r="E296" s="3"/>
      <c r="F296" s="3"/>
      <c r="G296" s="3"/>
      <c r="H296" s="12"/>
      <c r="I296" s="12"/>
      <c r="J296" s="3"/>
      <c r="K296" s="3"/>
      <c r="L296" s="3"/>
    </row>
    <row r="297" spans="1:12">
      <c r="A297" s="3"/>
      <c r="B297" s="3"/>
      <c r="C297" s="3"/>
      <c r="D297" s="3"/>
      <c r="E297" s="3"/>
      <c r="F297" s="3"/>
      <c r="G297" s="3"/>
      <c r="H297" s="12"/>
      <c r="I297" s="12"/>
      <c r="J297" s="3"/>
      <c r="K297" s="3"/>
      <c r="L297" s="3"/>
    </row>
    <row r="298" spans="1:12">
      <c r="A298" s="3"/>
      <c r="B298" s="3"/>
      <c r="C298" s="3"/>
      <c r="D298" s="3"/>
      <c r="E298" s="3"/>
      <c r="F298" s="3"/>
      <c r="G298" s="3"/>
      <c r="H298" s="12"/>
      <c r="I298" s="12"/>
      <c r="J298" s="3"/>
      <c r="K298" s="3"/>
      <c r="L298" s="3"/>
    </row>
    <row r="299" spans="1:12">
      <c r="A299" s="3"/>
      <c r="B299" s="3"/>
      <c r="C299" s="3"/>
      <c r="D299" s="3"/>
      <c r="E299" s="3"/>
      <c r="F299" s="3"/>
      <c r="G299" s="3"/>
      <c r="H299" s="12"/>
      <c r="I299" s="12"/>
      <c r="J299" s="3"/>
      <c r="K299" s="3"/>
      <c r="L299" s="3"/>
    </row>
    <row r="300" spans="1:12">
      <c r="A300" s="3"/>
      <c r="B300" s="3"/>
      <c r="C300" s="3"/>
      <c r="D300" s="3"/>
      <c r="E300" s="3"/>
      <c r="F300" s="3"/>
      <c r="G300" s="3"/>
      <c r="H300" s="12"/>
      <c r="I300" s="12"/>
      <c r="J300" s="3"/>
      <c r="K300" s="3"/>
      <c r="L300" s="3"/>
    </row>
    <row r="301" spans="1:12">
      <c r="A301" s="3"/>
      <c r="B301" s="3"/>
      <c r="C301" s="3"/>
      <c r="D301" s="3"/>
      <c r="E301" s="3"/>
      <c r="F301" s="3"/>
      <c r="G301" s="3"/>
      <c r="H301" s="12"/>
      <c r="I301" s="12"/>
      <c r="J301" s="3"/>
      <c r="K301" s="3"/>
      <c r="L301" s="3"/>
    </row>
    <row r="302" spans="1:12">
      <c r="A302" s="3"/>
      <c r="B302" s="3"/>
      <c r="C302" s="3"/>
      <c r="D302" s="3"/>
      <c r="E302" s="3"/>
      <c r="F302" s="3"/>
      <c r="G302" s="3"/>
      <c r="H302" s="12"/>
      <c r="I302" s="12"/>
      <c r="J302" s="3"/>
      <c r="K302" s="3"/>
      <c r="L302" s="3"/>
    </row>
    <row r="303" spans="1:12">
      <c r="A303" s="3"/>
      <c r="B303" s="3"/>
      <c r="C303" s="3"/>
      <c r="D303" s="3"/>
      <c r="E303" s="3"/>
      <c r="F303" s="3"/>
      <c r="G303" s="3"/>
      <c r="H303" s="12"/>
      <c r="I303" s="12"/>
      <c r="J303" s="3"/>
      <c r="K303" s="3"/>
      <c r="L303" s="3"/>
    </row>
    <row r="304" spans="1:12">
      <c r="A304" s="3"/>
      <c r="B304" s="3"/>
      <c r="C304" s="3"/>
      <c r="D304" s="3"/>
      <c r="E304" s="3"/>
      <c r="F304" s="3"/>
      <c r="G304" s="3"/>
      <c r="H304" s="12"/>
      <c r="I304" s="12"/>
      <c r="J304" s="3"/>
      <c r="K304" s="3"/>
      <c r="L304" s="3"/>
    </row>
    <row r="305" spans="1:12">
      <c r="A305" s="3"/>
      <c r="B305" s="3"/>
      <c r="C305" s="3"/>
      <c r="D305" s="3"/>
      <c r="E305" s="3"/>
      <c r="F305" s="3"/>
      <c r="G305" s="3"/>
      <c r="H305" s="12"/>
      <c r="I305" s="12"/>
      <c r="J305" s="3"/>
      <c r="K305" s="3"/>
      <c r="L305" s="3"/>
    </row>
    <row r="306" spans="1:12">
      <c r="A306" s="3"/>
      <c r="B306" s="3"/>
      <c r="C306" s="3"/>
      <c r="D306" s="3"/>
      <c r="E306" s="3"/>
      <c r="F306" s="3"/>
      <c r="G306" s="3"/>
      <c r="H306" s="12"/>
      <c r="I306" s="12"/>
      <c r="J306" s="3"/>
      <c r="K306" s="3"/>
      <c r="L306" s="3"/>
    </row>
    <row r="307" spans="1:12">
      <c r="A307" s="3"/>
      <c r="B307" s="3"/>
      <c r="C307" s="3"/>
      <c r="D307" s="3"/>
      <c r="E307" s="3"/>
      <c r="F307" s="3"/>
      <c r="G307" s="3"/>
      <c r="H307" s="12"/>
      <c r="I307" s="12"/>
      <c r="J307" s="3"/>
      <c r="K307" s="3"/>
      <c r="L307" s="3"/>
    </row>
    <row r="308" spans="1:12">
      <c r="A308" s="3"/>
      <c r="B308" s="3"/>
      <c r="C308" s="3"/>
      <c r="D308" s="3"/>
      <c r="E308" s="3"/>
      <c r="F308" s="3"/>
      <c r="G308" s="3"/>
      <c r="H308" s="12"/>
      <c r="I308" s="12"/>
      <c r="J308" s="3"/>
      <c r="K308" s="3"/>
      <c r="L308" s="3"/>
    </row>
    <row r="309" spans="1:12">
      <c r="A309" s="3"/>
      <c r="B309" s="3"/>
      <c r="C309" s="3"/>
      <c r="D309" s="3"/>
      <c r="E309" s="3"/>
      <c r="F309" s="3"/>
      <c r="G309" s="3"/>
      <c r="H309" s="12"/>
      <c r="I309" s="12"/>
      <c r="J309" s="3"/>
      <c r="K309" s="3"/>
      <c r="L309" s="3"/>
    </row>
    <row r="310" spans="1:12">
      <c r="A310" s="3"/>
      <c r="B310" s="3"/>
      <c r="C310" s="3"/>
      <c r="D310" s="3"/>
      <c r="E310" s="3"/>
      <c r="F310" s="3"/>
      <c r="G310" s="3"/>
      <c r="H310" s="12"/>
      <c r="I310" s="12"/>
      <c r="J310" s="3"/>
      <c r="K310" s="3"/>
      <c r="L310" s="3"/>
    </row>
    <row r="311" spans="1:12">
      <c r="A311" s="3"/>
      <c r="B311" s="3"/>
      <c r="C311" s="3"/>
      <c r="D311" s="3"/>
      <c r="E311" s="3"/>
      <c r="F311" s="3"/>
      <c r="G311" s="3"/>
      <c r="H311" s="12"/>
      <c r="I311" s="12"/>
      <c r="J311" s="3"/>
      <c r="K311" s="3"/>
      <c r="L311" s="3"/>
    </row>
    <row r="312" spans="1:12">
      <c r="A312" s="3"/>
      <c r="B312" s="3"/>
      <c r="C312" s="3"/>
      <c r="D312" s="3"/>
      <c r="E312" s="3"/>
      <c r="F312" s="3"/>
      <c r="G312" s="3"/>
      <c r="H312" s="12"/>
      <c r="I312" s="12"/>
      <c r="J312" s="3"/>
      <c r="K312" s="3"/>
      <c r="L312" s="3"/>
    </row>
    <row r="313" spans="1:12">
      <c r="A313" s="3"/>
      <c r="B313" s="3"/>
      <c r="C313" s="3"/>
      <c r="D313" s="3"/>
      <c r="E313" s="3"/>
      <c r="F313" s="3"/>
      <c r="G313" s="3"/>
      <c r="H313" s="12"/>
      <c r="I313" s="12"/>
      <c r="J313" s="3"/>
      <c r="K313" s="3"/>
      <c r="L313" s="3"/>
    </row>
    <row r="314" spans="1:12">
      <c r="A314" s="3"/>
      <c r="B314" s="3"/>
      <c r="C314" s="3"/>
      <c r="D314" s="3"/>
      <c r="E314" s="3"/>
      <c r="F314" s="3"/>
      <c r="G314" s="3"/>
      <c r="H314" s="12"/>
      <c r="I314" s="12"/>
      <c r="J314" s="3"/>
      <c r="K314" s="3"/>
      <c r="L314" s="3"/>
    </row>
    <row r="315" spans="1:12">
      <c r="A315" s="3"/>
      <c r="B315" s="3"/>
      <c r="C315" s="3"/>
      <c r="D315" s="3"/>
      <c r="E315" s="3"/>
      <c r="F315" s="3"/>
      <c r="G315" s="3"/>
      <c r="H315" s="12"/>
      <c r="I315" s="12"/>
      <c r="J315" s="3"/>
      <c r="K315" s="3"/>
      <c r="L315" s="3"/>
    </row>
    <row r="316" spans="1:12">
      <c r="A316" s="3"/>
      <c r="B316" s="3"/>
      <c r="C316" s="3"/>
      <c r="D316" s="3"/>
      <c r="E316" s="3"/>
      <c r="F316" s="3"/>
      <c r="G316" s="3"/>
      <c r="H316" s="12"/>
      <c r="I316" s="12"/>
      <c r="J316" s="3"/>
      <c r="K316" s="3"/>
      <c r="L316" s="3"/>
    </row>
    <row r="317" spans="1:12">
      <c r="A317" s="3"/>
      <c r="B317" s="3"/>
      <c r="C317" s="3"/>
      <c r="D317" s="3"/>
      <c r="E317" s="3"/>
      <c r="F317" s="3"/>
      <c r="G317" s="3"/>
      <c r="H317" s="12"/>
      <c r="I317" s="12"/>
      <c r="J317" s="3"/>
      <c r="K317" s="3"/>
      <c r="L317" s="3"/>
    </row>
    <row r="318" spans="1:12">
      <c r="A318" s="3"/>
      <c r="B318" s="3"/>
      <c r="C318" s="3"/>
      <c r="D318" s="3"/>
      <c r="E318" s="3"/>
      <c r="F318" s="3"/>
      <c r="G318" s="3"/>
      <c r="H318" s="12"/>
      <c r="I318" s="12"/>
      <c r="J318" s="3"/>
      <c r="K318" s="3"/>
      <c r="L318" s="3"/>
    </row>
    <row r="319" spans="1:12">
      <c r="A319" s="3"/>
      <c r="B319" s="3"/>
      <c r="C319" s="3"/>
      <c r="D319" s="3"/>
      <c r="E319" s="3"/>
      <c r="F319" s="3"/>
      <c r="G319" s="3"/>
      <c r="H319" s="12"/>
      <c r="I319" s="12"/>
      <c r="J319" s="3"/>
      <c r="K319" s="3"/>
      <c r="L319" s="3"/>
    </row>
    <row r="320" spans="1:12">
      <c r="A320" s="3"/>
      <c r="B320" s="3"/>
      <c r="C320" s="3"/>
      <c r="D320" s="3"/>
      <c r="E320" s="3"/>
      <c r="F320" s="3"/>
      <c r="G320" s="3"/>
      <c r="H320" s="12"/>
      <c r="I320" s="12"/>
      <c r="J320" s="3"/>
      <c r="K320" s="3"/>
      <c r="L320" s="3"/>
    </row>
    <row r="321" spans="1:12">
      <c r="A321" s="3"/>
      <c r="B321" s="3"/>
      <c r="C321" s="3"/>
      <c r="D321" s="3"/>
      <c r="E321" s="3"/>
      <c r="F321" s="3"/>
      <c r="G321" s="3"/>
      <c r="H321" s="12"/>
      <c r="I321" s="12"/>
      <c r="J321" s="3"/>
      <c r="K321" s="3"/>
      <c r="L321" s="3"/>
    </row>
    <row r="322" spans="1:12">
      <c r="A322" s="3"/>
      <c r="B322" s="3"/>
      <c r="C322" s="3"/>
      <c r="D322" s="3"/>
      <c r="E322" s="3"/>
      <c r="F322" s="3"/>
      <c r="G322" s="3"/>
      <c r="H322" s="12"/>
      <c r="I322" s="12"/>
      <c r="J322" s="3"/>
      <c r="K322" s="3"/>
      <c r="L322" s="3"/>
    </row>
    <row r="323" spans="1:12">
      <c r="A323" s="3"/>
      <c r="B323" s="3"/>
      <c r="C323" s="3"/>
      <c r="D323" s="3"/>
      <c r="E323" s="3"/>
      <c r="F323" s="3"/>
      <c r="G323" s="3"/>
      <c r="H323" s="12"/>
      <c r="I323" s="12"/>
      <c r="J323" s="3"/>
      <c r="K323" s="3"/>
      <c r="L323" s="3"/>
    </row>
    <row r="324" spans="1:12">
      <c r="A324" s="3"/>
      <c r="B324" s="3"/>
      <c r="C324" s="3"/>
      <c r="D324" s="3"/>
      <c r="E324" s="3"/>
      <c r="F324" s="3"/>
      <c r="G324" s="3"/>
      <c r="H324" s="12"/>
      <c r="I324" s="12"/>
      <c r="J324" s="3"/>
      <c r="K324" s="3"/>
      <c r="L324" s="3"/>
    </row>
    <row r="325" spans="1:12">
      <c r="A325" s="3"/>
      <c r="B325" s="3"/>
      <c r="C325" s="3"/>
      <c r="D325" s="3"/>
      <c r="E325" s="3"/>
      <c r="F325" s="3"/>
      <c r="G325" s="3"/>
      <c r="H325" s="12"/>
      <c r="I325" s="12"/>
      <c r="J325" s="3"/>
      <c r="K325" s="3"/>
      <c r="L325" s="3"/>
    </row>
    <row r="326" spans="1:12">
      <c r="A326" s="3"/>
      <c r="B326" s="3"/>
      <c r="C326" s="3"/>
      <c r="D326" s="3"/>
      <c r="E326" s="3"/>
      <c r="F326" s="3"/>
      <c r="G326" s="3"/>
      <c r="H326" s="12"/>
      <c r="I326" s="12"/>
      <c r="J326" s="3"/>
      <c r="K326" s="3"/>
      <c r="L326" s="3"/>
    </row>
    <row r="327" spans="1:12">
      <c r="A327" s="3"/>
      <c r="B327" s="3"/>
      <c r="C327" s="3"/>
      <c r="D327" s="3"/>
      <c r="E327" s="3"/>
      <c r="F327" s="3"/>
      <c r="G327" s="3"/>
      <c r="H327" s="12"/>
      <c r="I327" s="12"/>
      <c r="J327" s="3"/>
      <c r="K327" s="3"/>
      <c r="L327" s="3"/>
    </row>
    <row r="328" spans="1:12">
      <c r="A328" s="3"/>
      <c r="B328" s="3"/>
      <c r="C328" s="3"/>
      <c r="D328" s="3"/>
      <c r="E328" s="3"/>
      <c r="F328" s="3"/>
      <c r="G328" s="3"/>
      <c r="H328" s="12"/>
      <c r="I328" s="12"/>
      <c r="J328" s="3"/>
      <c r="K328" s="3"/>
      <c r="L328" s="3"/>
    </row>
    <row r="329" spans="1:12">
      <c r="A329" s="3"/>
      <c r="B329" s="3"/>
      <c r="C329" s="3"/>
      <c r="D329" s="3"/>
      <c r="E329" s="3"/>
      <c r="F329" s="3"/>
      <c r="G329" s="3"/>
      <c r="H329" s="12"/>
      <c r="I329" s="12"/>
      <c r="J329" s="3"/>
      <c r="K329" s="3"/>
      <c r="L329" s="3"/>
    </row>
    <row r="330" spans="1:12">
      <c r="A330" s="3"/>
      <c r="B330" s="3"/>
      <c r="C330" s="3"/>
      <c r="D330" s="3"/>
      <c r="E330" s="3"/>
      <c r="F330" s="3"/>
      <c r="G330" s="3"/>
      <c r="H330" s="12"/>
      <c r="I330" s="12"/>
      <c r="J330" s="3"/>
      <c r="K330" s="3"/>
      <c r="L330" s="3"/>
    </row>
    <row r="331" spans="1:12">
      <c r="A331" s="3"/>
      <c r="B331" s="3"/>
      <c r="C331" s="3"/>
      <c r="D331" s="3"/>
      <c r="E331" s="3"/>
      <c r="F331" s="3"/>
      <c r="G331" s="3"/>
      <c r="H331" s="12"/>
      <c r="I331" s="12"/>
      <c r="J331" s="3"/>
      <c r="K331" s="3"/>
      <c r="L331" s="3"/>
    </row>
    <row r="332" spans="1:12">
      <c r="A332" s="3"/>
      <c r="B332" s="3"/>
      <c r="C332" s="3"/>
      <c r="D332" s="3"/>
      <c r="E332" s="3"/>
      <c r="F332" s="3"/>
      <c r="G332" s="3"/>
      <c r="H332" s="12"/>
      <c r="I332" s="12"/>
      <c r="J332" s="3"/>
      <c r="K332" s="3"/>
      <c r="L332" s="3"/>
    </row>
    <row r="333" spans="1:12">
      <c r="A333" s="3"/>
      <c r="B333" s="3"/>
      <c r="C333" s="3"/>
      <c r="D333" s="3"/>
      <c r="E333" s="3"/>
      <c r="F333" s="3"/>
      <c r="G333" s="3"/>
      <c r="H333" s="12"/>
      <c r="I333" s="12"/>
      <c r="J333" s="3"/>
      <c r="K333" s="3"/>
      <c r="L333" s="3"/>
    </row>
    <row r="334" spans="1:12">
      <c r="A334" s="3"/>
      <c r="B334" s="3"/>
      <c r="C334" s="3"/>
      <c r="D334" s="3"/>
      <c r="E334" s="3"/>
      <c r="F334" s="3"/>
      <c r="G334" s="3"/>
      <c r="H334" s="12"/>
      <c r="I334" s="12"/>
      <c r="J334" s="3"/>
      <c r="K334" s="3"/>
      <c r="L334" s="3"/>
    </row>
    <row r="335" spans="1:12">
      <c r="A335" s="3"/>
      <c r="B335" s="3"/>
      <c r="C335" s="3"/>
      <c r="D335" s="3"/>
      <c r="E335" s="3"/>
      <c r="F335" s="3"/>
      <c r="G335" s="3"/>
      <c r="H335" s="12"/>
      <c r="I335" s="12"/>
      <c r="J335" s="3"/>
      <c r="K335" s="3"/>
      <c r="L335" s="3"/>
    </row>
    <row r="336" spans="1:12">
      <c r="A336" s="3"/>
      <c r="B336" s="3"/>
      <c r="C336" s="3"/>
      <c r="D336" s="3"/>
      <c r="E336" s="3"/>
      <c r="F336" s="3"/>
      <c r="G336" s="3"/>
      <c r="H336" s="12"/>
      <c r="I336" s="12"/>
      <c r="J336" s="3"/>
      <c r="K336" s="3"/>
      <c r="L336" s="3"/>
    </row>
    <row r="337" spans="1:12">
      <c r="A337" s="3"/>
      <c r="B337" s="3"/>
      <c r="C337" s="3"/>
      <c r="D337" s="3"/>
      <c r="E337" s="3"/>
      <c r="F337" s="3"/>
      <c r="G337" s="3"/>
      <c r="H337" s="12"/>
      <c r="I337" s="12"/>
      <c r="J337" s="3"/>
      <c r="K337" s="3"/>
      <c r="L337" s="3"/>
    </row>
    <row r="338" spans="1:12">
      <c r="A338" s="3"/>
      <c r="B338" s="3"/>
      <c r="C338" s="3"/>
      <c r="D338" s="3"/>
      <c r="E338" s="3"/>
      <c r="F338" s="3"/>
      <c r="G338" s="3"/>
      <c r="H338" s="12"/>
      <c r="I338" s="12"/>
      <c r="J338" s="3"/>
      <c r="K338" s="3"/>
      <c r="L338" s="3"/>
    </row>
    <row r="339" spans="1:12">
      <c r="A339" s="3"/>
      <c r="B339" s="3"/>
      <c r="C339" s="3"/>
      <c r="D339" s="3"/>
      <c r="E339" s="3"/>
      <c r="F339" s="3"/>
      <c r="G339" s="3"/>
      <c r="H339" s="12"/>
      <c r="I339" s="12"/>
      <c r="J339" s="3"/>
      <c r="K339" s="3"/>
      <c r="L339" s="3"/>
    </row>
    <row r="340" spans="1:12">
      <c r="A340" s="3"/>
      <c r="B340" s="3"/>
      <c r="C340" s="3"/>
      <c r="D340" s="3"/>
      <c r="E340" s="3"/>
      <c r="F340" s="3"/>
      <c r="G340" s="3"/>
      <c r="H340" s="12"/>
      <c r="I340" s="12"/>
      <c r="J340" s="3"/>
      <c r="K340" s="3"/>
      <c r="L340" s="3"/>
    </row>
    <row r="341" spans="1:12">
      <c r="A341" s="3"/>
      <c r="B341" s="3"/>
      <c r="C341" s="3"/>
      <c r="D341" s="3"/>
      <c r="E341" s="3"/>
      <c r="F341" s="3"/>
      <c r="G341" s="3"/>
      <c r="H341" s="12"/>
      <c r="I341" s="12"/>
      <c r="J341" s="3"/>
      <c r="K341" s="3"/>
      <c r="L341" s="3"/>
    </row>
    <row r="342" spans="1:12">
      <c r="A342" s="3"/>
      <c r="B342" s="3"/>
      <c r="C342" s="3"/>
      <c r="D342" s="3"/>
      <c r="E342" s="3"/>
      <c r="F342" s="3"/>
      <c r="G342" s="3"/>
      <c r="H342" s="12"/>
      <c r="I342" s="12"/>
      <c r="J342" s="3"/>
      <c r="K342" s="3"/>
      <c r="L342" s="3"/>
    </row>
    <row r="343" spans="1:12">
      <c r="A343" s="3"/>
      <c r="B343" s="3"/>
      <c r="C343" s="3"/>
      <c r="D343" s="3"/>
      <c r="E343" s="3"/>
      <c r="F343" s="3"/>
      <c r="G343" s="3"/>
      <c r="H343" s="12"/>
      <c r="I343" s="12"/>
      <c r="J343" s="3"/>
      <c r="K343" s="3"/>
      <c r="L343" s="3"/>
    </row>
    <row r="344" spans="1:12">
      <c r="A344" s="3"/>
      <c r="B344" s="3"/>
      <c r="C344" s="3"/>
      <c r="D344" s="3"/>
      <c r="E344" s="3"/>
      <c r="F344" s="3"/>
      <c r="G344" s="3"/>
      <c r="H344" s="12"/>
      <c r="I344" s="12"/>
      <c r="J344" s="3"/>
      <c r="K344" s="3"/>
      <c r="L344" s="3"/>
    </row>
    <row r="345" spans="1:12">
      <c r="A345" s="3"/>
      <c r="B345" s="3"/>
      <c r="C345" s="3"/>
      <c r="D345" s="3"/>
      <c r="E345" s="3"/>
      <c r="F345" s="3"/>
      <c r="G345" s="3"/>
      <c r="H345" s="12"/>
      <c r="I345" s="12"/>
      <c r="J345" s="3"/>
      <c r="K345" s="3"/>
      <c r="L345" s="3"/>
    </row>
    <row r="346" spans="1:12">
      <c r="A346" s="3"/>
      <c r="B346" s="3"/>
      <c r="C346" s="3"/>
      <c r="D346" s="3"/>
      <c r="E346" s="3"/>
      <c r="F346" s="3"/>
      <c r="G346" s="3"/>
      <c r="H346" s="12"/>
      <c r="I346" s="12"/>
      <c r="J346" s="3"/>
      <c r="K346" s="3"/>
      <c r="L346" s="3"/>
    </row>
    <row r="347" spans="1:12">
      <c r="A347" s="3"/>
      <c r="B347" s="3"/>
      <c r="C347" s="3"/>
      <c r="D347" s="3"/>
      <c r="E347" s="3"/>
      <c r="F347" s="3"/>
      <c r="G347" s="3"/>
      <c r="H347" s="12"/>
      <c r="I347" s="12"/>
      <c r="J347" s="3"/>
      <c r="K347" s="3"/>
      <c r="L347" s="3"/>
    </row>
    <row r="348" spans="1:12">
      <c r="A348" s="3"/>
      <c r="B348" s="3"/>
      <c r="C348" s="3"/>
      <c r="D348" s="3"/>
      <c r="E348" s="3"/>
      <c r="F348" s="3"/>
      <c r="G348" s="3"/>
      <c r="H348" s="12"/>
      <c r="I348" s="12"/>
      <c r="J348" s="3"/>
      <c r="K348" s="3"/>
      <c r="L348" s="3"/>
    </row>
    <row r="349" spans="1:12">
      <c r="A349" s="3"/>
      <c r="B349" s="3"/>
      <c r="C349" s="3"/>
      <c r="D349" s="3"/>
      <c r="E349" s="3"/>
      <c r="F349" s="3"/>
      <c r="G349" s="3"/>
      <c r="H349" s="12"/>
      <c r="I349" s="12"/>
      <c r="J349" s="3"/>
      <c r="K349" s="3"/>
      <c r="L349" s="3"/>
    </row>
    <row r="350" spans="1:12">
      <c r="A350" s="3"/>
      <c r="B350" s="3"/>
      <c r="C350" s="3"/>
      <c r="D350" s="3"/>
      <c r="E350" s="3"/>
      <c r="F350" s="3"/>
      <c r="G350" s="3"/>
      <c r="H350" s="12"/>
      <c r="I350" s="12"/>
      <c r="J350" s="3"/>
      <c r="K350" s="3"/>
      <c r="L350" s="3"/>
    </row>
    <row r="351" spans="1:12">
      <c r="A351" s="3"/>
      <c r="B351" s="3"/>
      <c r="C351" s="3"/>
      <c r="D351" s="3"/>
      <c r="E351" s="3"/>
      <c r="F351" s="3"/>
      <c r="G351" s="3"/>
      <c r="H351" s="12"/>
      <c r="I351" s="12"/>
      <c r="J351" s="3"/>
      <c r="K351" s="3"/>
      <c r="L351" s="3"/>
    </row>
    <row r="352" spans="1:12">
      <c r="A352" s="3"/>
      <c r="B352" s="3"/>
      <c r="C352" s="3"/>
      <c r="D352" s="3"/>
      <c r="E352" s="3"/>
      <c r="F352" s="3"/>
      <c r="G352" s="3"/>
      <c r="H352" s="12"/>
      <c r="I352" s="12"/>
      <c r="J352" s="3"/>
      <c r="K352" s="3"/>
      <c r="L352" s="3"/>
    </row>
    <row r="353" spans="1:12">
      <c r="A353" s="3"/>
      <c r="B353" s="3"/>
      <c r="C353" s="3"/>
      <c r="D353" s="3"/>
      <c r="E353" s="3"/>
      <c r="F353" s="3"/>
      <c r="G353" s="3"/>
      <c r="H353" s="12"/>
      <c r="I353" s="12"/>
      <c r="J353" s="3"/>
      <c r="K353" s="3"/>
      <c r="L353" s="3"/>
    </row>
    <row r="354" spans="1:12">
      <c r="A354" s="3"/>
      <c r="B354" s="3"/>
      <c r="C354" s="3"/>
      <c r="D354" s="3"/>
      <c r="E354" s="3"/>
      <c r="F354" s="3"/>
      <c r="G354" s="3"/>
      <c r="H354" s="12"/>
      <c r="I354" s="12"/>
      <c r="J354" s="3"/>
      <c r="K354" s="3"/>
      <c r="L354" s="3"/>
    </row>
    <row r="355" spans="1:12">
      <c r="A355" s="3"/>
      <c r="B355" s="3"/>
      <c r="C355" s="3"/>
      <c r="D355" s="3"/>
      <c r="E355" s="3"/>
      <c r="F355" s="3"/>
      <c r="G355" s="3"/>
      <c r="H355" s="12"/>
      <c r="I355" s="12"/>
      <c r="J355" s="3"/>
      <c r="K355" s="3"/>
      <c r="L355" s="3"/>
    </row>
    <row r="356" spans="1:12">
      <c r="A356" s="3"/>
      <c r="B356" s="3"/>
      <c r="C356" s="3"/>
      <c r="D356" s="3"/>
      <c r="E356" s="3"/>
      <c r="F356" s="3"/>
      <c r="G356" s="3"/>
      <c r="H356" s="12"/>
      <c r="I356" s="12"/>
      <c r="J356" s="3"/>
      <c r="K356" s="3"/>
      <c r="L356" s="3"/>
    </row>
    <row r="357" spans="1:12">
      <c r="A357" s="3"/>
      <c r="B357" s="3"/>
      <c r="C357" s="3"/>
      <c r="D357" s="3"/>
      <c r="E357" s="3"/>
      <c r="F357" s="3"/>
      <c r="G357" s="3"/>
      <c r="H357" s="12"/>
      <c r="I357" s="12"/>
      <c r="J357" s="3"/>
      <c r="K357" s="3"/>
      <c r="L357" s="3"/>
    </row>
    <row r="358" spans="1:12">
      <c r="A358" s="3"/>
      <c r="B358" s="3"/>
      <c r="C358" s="3"/>
      <c r="D358" s="3"/>
      <c r="E358" s="3"/>
      <c r="F358" s="3"/>
      <c r="G358" s="3"/>
      <c r="H358" s="12"/>
      <c r="I358" s="12"/>
      <c r="J358" s="3"/>
      <c r="K358" s="3"/>
      <c r="L358" s="3"/>
    </row>
    <row r="359" spans="1:12">
      <c r="A359" s="3"/>
      <c r="B359" s="3"/>
      <c r="C359" s="3"/>
      <c r="D359" s="3"/>
      <c r="E359" s="3"/>
      <c r="F359" s="3"/>
      <c r="G359" s="3"/>
      <c r="H359" s="12"/>
      <c r="I359" s="12"/>
      <c r="J359" s="3"/>
      <c r="K359" s="3"/>
      <c r="L359" s="3"/>
    </row>
    <row r="360" spans="1:12">
      <c r="A360" s="3"/>
      <c r="B360" s="3"/>
      <c r="C360" s="3"/>
      <c r="D360" s="3"/>
      <c r="E360" s="3"/>
      <c r="F360" s="3"/>
      <c r="G360" s="3"/>
      <c r="H360" s="12"/>
      <c r="I360" s="12"/>
      <c r="J360" s="3"/>
      <c r="K360" s="3"/>
      <c r="L360" s="3"/>
    </row>
    <row r="361" spans="1:12">
      <c r="A361" s="3"/>
      <c r="B361" s="3"/>
      <c r="C361" s="3"/>
      <c r="D361" s="3"/>
      <c r="E361" s="3"/>
      <c r="F361" s="3"/>
      <c r="G361" s="3"/>
      <c r="H361" s="12"/>
      <c r="I361" s="12"/>
      <c r="J361" s="3"/>
      <c r="K361" s="3"/>
      <c r="L361" s="3"/>
    </row>
    <row r="362" spans="1:12">
      <c r="A362" s="3"/>
      <c r="B362" s="3"/>
      <c r="C362" s="3"/>
      <c r="D362" s="3"/>
      <c r="E362" s="3"/>
      <c r="F362" s="3"/>
      <c r="G362" s="3"/>
      <c r="H362" s="12"/>
      <c r="I362" s="12"/>
      <c r="J362" s="3"/>
      <c r="K362" s="3"/>
      <c r="L362" s="3"/>
    </row>
    <row r="363" spans="1:12">
      <c r="A363" s="3"/>
      <c r="B363" s="3"/>
      <c r="C363" s="3"/>
      <c r="D363" s="3"/>
      <c r="E363" s="3"/>
      <c r="F363" s="3"/>
      <c r="G363" s="3"/>
      <c r="H363" s="12"/>
      <c r="I363" s="12"/>
      <c r="J363" s="3"/>
      <c r="K363" s="3"/>
      <c r="L363" s="3"/>
    </row>
    <row r="364" spans="1:12">
      <c r="A364" s="3"/>
      <c r="B364" s="3"/>
      <c r="C364" s="3"/>
      <c r="D364" s="3"/>
      <c r="E364" s="3"/>
      <c r="F364" s="3"/>
      <c r="G364" s="3"/>
      <c r="H364" s="12"/>
      <c r="I364" s="12"/>
      <c r="J364" s="3"/>
      <c r="K364" s="3"/>
      <c r="L364" s="3"/>
    </row>
    <row r="365" spans="1:12">
      <c r="A365" s="3"/>
      <c r="B365" s="3"/>
      <c r="C365" s="3"/>
      <c r="D365" s="3"/>
      <c r="E365" s="3"/>
      <c r="F365" s="3"/>
      <c r="G365" s="3"/>
      <c r="H365" s="12"/>
      <c r="I365" s="12"/>
      <c r="J365" s="3"/>
      <c r="K365" s="3"/>
      <c r="L365" s="3"/>
    </row>
    <row r="366" spans="1:12">
      <c r="A366" s="3"/>
      <c r="B366" s="3"/>
      <c r="C366" s="3"/>
      <c r="D366" s="3"/>
      <c r="E366" s="3"/>
      <c r="F366" s="3"/>
      <c r="G366" s="3"/>
      <c r="H366" s="12"/>
      <c r="I366" s="12"/>
      <c r="J366" s="3"/>
      <c r="K366" s="3"/>
      <c r="L366" s="3"/>
    </row>
    <row r="367" spans="1:12">
      <c r="A367" s="3"/>
      <c r="B367" s="3"/>
      <c r="C367" s="3"/>
      <c r="D367" s="3"/>
      <c r="E367" s="3"/>
      <c r="F367" s="3"/>
      <c r="G367" s="3"/>
      <c r="H367" s="12"/>
      <c r="I367" s="12"/>
      <c r="J367" s="3"/>
      <c r="K367" s="3"/>
      <c r="L367" s="3"/>
    </row>
    <row r="368" spans="1:12">
      <c r="A368" s="3"/>
      <c r="B368" s="3"/>
      <c r="C368" s="3"/>
      <c r="D368" s="3"/>
      <c r="E368" s="3"/>
      <c r="F368" s="3"/>
      <c r="G368" s="3"/>
      <c r="H368" s="12"/>
      <c r="I368" s="12"/>
      <c r="J368" s="3"/>
      <c r="K368" s="3"/>
      <c r="L368" s="3"/>
    </row>
    <row r="369" spans="1:12">
      <c r="A369" s="3"/>
      <c r="B369" s="3"/>
      <c r="C369" s="3"/>
      <c r="D369" s="3"/>
      <c r="E369" s="3"/>
      <c r="F369" s="3"/>
      <c r="G369" s="3"/>
      <c r="H369" s="12"/>
      <c r="I369" s="12"/>
      <c r="J369" s="3"/>
      <c r="K369" s="3"/>
      <c r="L369" s="3"/>
    </row>
    <row r="370" spans="1:12">
      <c r="A370" s="3"/>
      <c r="B370" s="3"/>
      <c r="C370" s="3"/>
      <c r="D370" s="3"/>
      <c r="E370" s="3"/>
      <c r="F370" s="3"/>
      <c r="G370" s="3"/>
      <c r="H370" s="12"/>
      <c r="I370" s="12"/>
      <c r="J370" s="3"/>
      <c r="K370" s="3"/>
      <c r="L370" s="3"/>
    </row>
    <row r="371" spans="1:12">
      <c r="A371" s="3"/>
      <c r="B371" s="3"/>
      <c r="C371" s="3"/>
      <c r="D371" s="3"/>
      <c r="E371" s="3"/>
      <c r="F371" s="3"/>
      <c r="G371" s="3"/>
      <c r="H371" s="12"/>
      <c r="I371" s="12"/>
      <c r="J371" s="3"/>
      <c r="K371" s="3"/>
      <c r="L371" s="3"/>
    </row>
    <row r="372" spans="1:12">
      <c r="A372" s="3"/>
      <c r="B372" s="3"/>
      <c r="C372" s="3"/>
      <c r="D372" s="3"/>
      <c r="E372" s="3"/>
      <c r="F372" s="3"/>
      <c r="G372" s="3"/>
      <c r="H372" s="12"/>
      <c r="I372" s="12"/>
      <c r="J372" s="3"/>
      <c r="K372" s="3"/>
      <c r="L372" s="3"/>
    </row>
    <row r="373" spans="1:12">
      <c r="A373" s="3"/>
      <c r="B373" s="3"/>
      <c r="C373" s="3"/>
      <c r="D373" s="3"/>
      <c r="E373" s="3"/>
      <c r="F373" s="3"/>
      <c r="G373" s="3"/>
      <c r="H373" s="12"/>
      <c r="I373" s="12"/>
      <c r="J373" s="3"/>
      <c r="K373" s="3"/>
      <c r="L373" s="3"/>
    </row>
    <row r="374" spans="1:12">
      <c r="A374" s="3"/>
      <c r="B374" s="3"/>
      <c r="C374" s="3"/>
      <c r="D374" s="3"/>
      <c r="E374" s="3"/>
      <c r="F374" s="3"/>
      <c r="G374" s="3"/>
      <c r="H374" s="12"/>
      <c r="I374" s="12"/>
      <c r="J374" s="3"/>
      <c r="K374" s="3"/>
      <c r="L374" s="3"/>
    </row>
    <row r="375" spans="1:12">
      <c r="A375" s="3"/>
      <c r="B375" s="3"/>
      <c r="C375" s="3"/>
      <c r="D375" s="3"/>
      <c r="E375" s="3"/>
      <c r="F375" s="3"/>
      <c r="G375" s="3"/>
      <c r="H375" s="12"/>
      <c r="I375" s="12"/>
      <c r="J375" s="3"/>
      <c r="K375" s="3"/>
      <c r="L375" s="3"/>
    </row>
    <row r="376" spans="1:12">
      <c r="A376" s="3"/>
      <c r="B376" s="3"/>
      <c r="C376" s="3"/>
      <c r="D376" s="3"/>
      <c r="E376" s="3"/>
      <c r="F376" s="3"/>
      <c r="G376" s="3"/>
      <c r="H376" s="12"/>
      <c r="I376" s="12"/>
      <c r="J376" s="3"/>
      <c r="K376" s="3"/>
      <c r="L376" s="3"/>
    </row>
    <row r="377" spans="1:12">
      <c r="A377" s="3"/>
      <c r="B377" s="3"/>
      <c r="C377" s="3"/>
      <c r="D377" s="3"/>
      <c r="E377" s="3"/>
      <c r="F377" s="3"/>
      <c r="G377" s="3"/>
      <c r="H377" s="12"/>
      <c r="I377" s="12"/>
      <c r="J377" s="3"/>
      <c r="K377" s="3"/>
      <c r="L377" s="3"/>
    </row>
    <row r="378" spans="1:12">
      <c r="A378" s="3"/>
      <c r="B378" s="3"/>
      <c r="C378" s="3"/>
      <c r="D378" s="3"/>
      <c r="E378" s="3"/>
      <c r="F378" s="3"/>
      <c r="G378" s="3"/>
      <c r="H378" s="12"/>
      <c r="I378" s="12"/>
      <c r="J378" s="3"/>
      <c r="K378" s="3"/>
      <c r="L378" s="3"/>
    </row>
    <row r="379" spans="1:12">
      <c r="A379" s="3"/>
      <c r="B379" s="3"/>
      <c r="C379" s="3"/>
      <c r="D379" s="3"/>
      <c r="E379" s="3"/>
      <c r="F379" s="3"/>
      <c r="G379" s="3"/>
      <c r="H379" s="12"/>
      <c r="I379" s="12"/>
      <c r="J379" s="3"/>
      <c r="K379" s="3"/>
      <c r="L379" s="3"/>
    </row>
    <row r="380" spans="1:12">
      <c r="A380" s="3"/>
      <c r="B380" s="3"/>
      <c r="C380" s="3"/>
      <c r="D380" s="3"/>
      <c r="E380" s="3"/>
      <c r="F380" s="3"/>
      <c r="G380" s="3"/>
      <c r="H380" s="12"/>
      <c r="I380" s="12"/>
      <c r="J380" s="3"/>
      <c r="K380" s="3"/>
      <c r="L380" s="3"/>
    </row>
    <row r="381" spans="1:12">
      <c r="A381" s="3"/>
      <c r="B381" s="3"/>
      <c r="C381" s="3"/>
      <c r="D381" s="3"/>
      <c r="E381" s="3"/>
      <c r="F381" s="3"/>
      <c r="G381" s="3"/>
      <c r="H381" s="12"/>
      <c r="I381" s="12"/>
      <c r="J381" s="3"/>
      <c r="K381" s="3"/>
      <c r="L381" s="3"/>
    </row>
    <row r="382" spans="1:12">
      <c r="A382" s="3"/>
      <c r="B382" s="3"/>
      <c r="C382" s="3"/>
      <c r="D382" s="3"/>
      <c r="E382" s="3"/>
      <c r="F382" s="3"/>
      <c r="G382" s="3"/>
      <c r="H382" s="12"/>
      <c r="I382" s="12"/>
      <c r="J382" s="3"/>
      <c r="K382" s="3"/>
      <c r="L382" s="3"/>
    </row>
    <row r="383" spans="1:12">
      <c r="A383" s="3"/>
      <c r="B383" s="3"/>
      <c r="C383" s="3"/>
      <c r="D383" s="3"/>
      <c r="E383" s="3"/>
      <c r="F383" s="3"/>
      <c r="G383" s="3"/>
      <c r="H383" s="12"/>
      <c r="I383" s="12"/>
      <c r="J383" s="3"/>
      <c r="K383" s="3"/>
      <c r="L383" s="3"/>
    </row>
    <row r="384" spans="1:12">
      <c r="A384" s="3"/>
      <c r="B384" s="3"/>
      <c r="C384" s="3"/>
      <c r="D384" s="3"/>
      <c r="E384" s="3"/>
      <c r="F384" s="3"/>
      <c r="G384" s="3"/>
      <c r="H384" s="12"/>
      <c r="I384" s="12"/>
      <c r="J384" s="3"/>
      <c r="K384" s="3"/>
      <c r="L384" s="3"/>
    </row>
    <row r="385" spans="1:12">
      <c r="A385" s="3"/>
      <c r="B385" s="3"/>
      <c r="C385" s="3"/>
      <c r="D385" s="3"/>
      <c r="E385" s="3"/>
      <c r="F385" s="3"/>
      <c r="G385" s="3"/>
      <c r="H385" s="12"/>
      <c r="I385" s="12"/>
      <c r="J385" s="3"/>
      <c r="K385" s="3"/>
      <c r="L385" s="3"/>
    </row>
    <row r="386" spans="1:12">
      <c r="A386" s="3"/>
      <c r="B386" s="3"/>
      <c r="C386" s="3"/>
      <c r="D386" s="3"/>
      <c r="E386" s="3"/>
      <c r="F386" s="3"/>
      <c r="G386" s="3"/>
      <c r="H386" s="12"/>
      <c r="I386" s="12"/>
      <c r="J386" s="3"/>
      <c r="K386" s="3"/>
      <c r="L386" s="3"/>
    </row>
    <row r="387" spans="1:12">
      <c r="A387" s="3"/>
      <c r="B387" s="3"/>
      <c r="C387" s="3"/>
      <c r="D387" s="3"/>
      <c r="E387" s="3"/>
      <c r="F387" s="3"/>
      <c r="G387" s="3"/>
      <c r="H387" s="12"/>
      <c r="I387" s="12"/>
      <c r="J387" s="3"/>
      <c r="K387" s="3"/>
      <c r="L387" s="3"/>
    </row>
    <row r="388" spans="1:12">
      <c r="A388" s="3"/>
      <c r="B388" s="3"/>
      <c r="C388" s="3"/>
      <c r="D388" s="3"/>
      <c r="E388" s="3"/>
      <c r="F388" s="3"/>
      <c r="G388" s="3"/>
      <c r="H388" s="12"/>
      <c r="I388" s="12"/>
      <c r="J388" s="3"/>
      <c r="K388" s="3"/>
      <c r="L388" s="3"/>
    </row>
    <row r="389" spans="1:12">
      <c r="A389" s="3"/>
      <c r="B389" s="3"/>
      <c r="C389" s="3"/>
      <c r="D389" s="3"/>
      <c r="E389" s="3"/>
      <c r="F389" s="3"/>
      <c r="G389" s="3"/>
      <c r="H389" s="12"/>
      <c r="I389" s="12"/>
      <c r="J389" s="3"/>
      <c r="K389" s="3"/>
      <c r="L389" s="3"/>
    </row>
    <row r="390" spans="1:12">
      <c r="A390" s="3"/>
      <c r="B390" s="3"/>
      <c r="C390" s="3"/>
      <c r="D390" s="3"/>
      <c r="E390" s="3"/>
      <c r="F390" s="3"/>
      <c r="G390" s="3"/>
      <c r="H390" s="12"/>
      <c r="I390" s="12"/>
      <c r="J390" s="3"/>
      <c r="K390" s="3"/>
      <c r="L390" s="3"/>
    </row>
    <row r="391" spans="1:12">
      <c r="A391" s="3"/>
      <c r="B391" s="3"/>
      <c r="C391" s="3"/>
      <c r="D391" s="3"/>
      <c r="E391" s="3"/>
      <c r="F391" s="3"/>
      <c r="G391" s="3"/>
      <c r="H391" s="12"/>
      <c r="I391" s="12"/>
      <c r="J391" s="3"/>
      <c r="K391" s="3"/>
      <c r="L391" s="3"/>
    </row>
    <row r="392" spans="1:12">
      <c r="A392" s="3"/>
      <c r="B392" s="3"/>
      <c r="C392" s="3"/>
      <c r="D392" s="3"/>
      <c r="E392" s="3"/>
      <c r="F392" s="3"/>
      <c r="G392" s="3"/>
      <c r="H392" s="12"/>
      <c r="I392" s="12"/>
      <c r="J392" s="3"/>
      <c r="K392" s="3"/>
      <c r="L392" s="3"/>
    </row>
    <row r="393" spans="1:12">
      <c r="A393" s="3"/>
      <c r="B393" s="3"/>
      <c r="C393" s="3"/>
      <c r="D393" s="3"/>
      <c r="E393" s="3"/>
      <c r="F393" s="3"/>
      <c r="G393" s="3"/>
      <c r="H393" s="12"/>
      <c r="I393" s="12"/>
      <c r="J393" s="3"/>
      <c r="K393" s="3"/>
      <c r="L393" s="3"/>
    </row>
    <row r="394" spans="1:12">
      <c r="A394" s="3"/>
      <c r="B394" s="3"/>
      <c r="C394" s="3"/>
      <c r="D394" s="3"/>
      <c r="E394" s="3"/>
      <c r="F394" s="3"/>
      <c r="G394" s="3"/>
      <c r="H394" s="12"/>
      <c r="I394" s="12"/>
      <c r="J394" s="3"/>
      <c r="K394" s="3"/>
      <c r="L394" s="3"/>
    </row>
    <row r="395" spans="1:12">
      <c r="A395" s="3"/>
      <c r="B395" s="3"/>
      <c r="C395" s="3"/>
      <c r="D395" s="3"/>
      <c r="E395" s="3"/>
      <c r="F395" s="3"/>
      <c r="G395" s="3"/>
      <c r="H395" s="12"/>
      <c r="I395" s="12"/>
      <c r="J395" s="3"/>
      <c r="K395" s="3"/>
      <c r="L395" s="3"/>
    </row>
    <row r="396" spans="1:12">
      <c r="A396" s="3"/>
      <c r="B396" s="3"/>
      <c r="C396" s="3"/>
      <c r="D396" s="3"/>
      <c r="E396" s="3"/>
      <c r="F396" s="3"/>
      <c r="G396" s="3"/>
      <c r="H396" s="12"/>
      <c r="I396" s="12"/>
      <c r="J396" s="3"/>
      <c r="K396" s="3"/>
      <c r="L396" s="3"/>
    </row>
    <row r="397" spans="1:12">
      <c r="A397" s="3"/>
      <c r="B397" s="3"/>
      <c r="C397" s="3"/>
      <c r="D397" s="3"/>
      <c r="E397" s="3"/>
      <c r="F397" s="3"/>
      <c r="G397" s="3"/>
      <c r="H397" s="12"/>
      <c r="I397" s="12"/>
      <c r="J397" s="3"/>
      <c r="K397" s="3"/>
      <c r="L397" s="3"/>
    </row>
    <row r="398" spans="1:12">
      <c r="A398" s="3"/>
      <c r="B398" s="3"/>
      <c r="C398" s="3"/>
      <c r="D398" s="3"/>
      <c r="E398" s="3"/>
      <c r="F398" s="3"/>
      <c r="G398" s="3"/>
      <c r="H398" s="12"/>
      <c r="I398" s="12"/>
      <c r="J398" s="3"/>
      <c r="K398" s="3"/>
      <c r="L398" s="3"/>
    </row>
    <row r="399" spans="1:12">
      <c r="A399" s="3"/>
      <c r="B399" s="3"/>
      <c r="C399" s="3"/>
      <c r="D399" s="3"/>
      <c r="E399" s="3"/>
      <c r="F399" s="3"/>
      <c r="G399" s="3"/>
      <c r="H399" s="12"/>
      <c r="I399" s="12"/>
      <c r="J399" s="3"/>
      <c r="K399" s="3"/>
      <c r="L399" s="3"/>
    </row>
    <row r="400" spans="1:12">
      <c r="A400" s="3"/>
      <c r="B400" s="3"/>
      <c r="C400" s="3"/>
      <c r="D400" s="3"/>
      <c r="E400" s="3"/>
      <c r="F400" s="3"/>
      <c r="G400" s="3"/>
      <c r="H400" s="12"/>
      <c r="I400" s="12"/>
      <c r="J400" s="3"/>
      <c r="K400" s="3"/>
      <c r="L400" s="3"/>
    </row>
    <row r="401" spans="1:12">
      <c r="A401" s="3"/>
      <c r="B401" s="3"/>
      <c r="C401" s="3"/>
      <c r="D401" s="3"/>
      <c r="E401" s="3"/>
      <c r="F401" s="3"/>
      <c r="G401" s="3"/>
      <c r="H401" s="12"/>
      <c r="I401" s="12"/>
      <c r="J401" s="3"/>
      <c r="K401" s="3"/>
      <c r="L401" s="3"/>
    </row>
    <row r="402" spans="1:12">
      <c r="A402" s="3"/>
      <c r="B402" s="3"/>
      <c r="C402" s="3"/>
      <c r="D402" s="3"/>
      <c r="E402" s="3"/>
      <c r="F402" s="3"/>
      <c r="G402" s="3"/>
      <c r="H402" s="12"/>
      <c r="I402" s="12"/>
      <c r="J402" s="3"/>
      <c r="K402" s="3"/>
      <c r="L402" s="3"/>
    </row>
    <row r="403" spans="1:12">
      <c r="A403" s="3"/>
      <c r="B403" s="3"/>
      <c r="C403" s="3"/>
      <c r="D403" s="3"/>
      <c r="E403" s="3"/>
      <c r="F403" s="3"/>
      <c r="G403" s="3"/>
      <c r="H403" s="12"/>
      <c r="I403" s="12"/>
      <c r="J403" s="3"/>
      <c r="K403" s="3"/>
      <c r="L403" s="3"/>
    </row>
    <row r="404" spans="1:12">
      <c r="A404" s="3"/>
      <c r="B404" s="3"/>
      <c r="C404" s="3"/>
      <c r="D404" s="3"/>
      <c r="E404" s="3"/>
      <c r="F404" s="3"/>
      <c r="G404" s="3"/>
      <c r="H404" s="12"/>
      <c r="I404" s="12"/>
      <c r="J404" s="3"/>
      <c r="K404" s="3"/>
      <c r="L404" s="3"/>
    </row>
    <row r="405" spans="1:12">
      <c r="A405" s="3"/>
      <c r="B405" s="3"/>
      <c r="C405" s="3"/>
      <c r="D405" s="3"/>
      <c r="E405" s="3"/>
      <c r="F405" s="3"/>
      <c r="G405" s="3"/>
      <c r="H405" s="12"/>
      <c r="I405" s="12"/>
      <c r="J405" s="3"/>
      <c r="K405" s="3"/>
      <c r="L405" s="3"/>
    </row>
    <row r="406" spans="1:12">
      <c r="A406" s="3"/>
      <c r="B406" s="3"/>
      <c r="C406" s="3"/>
      <c r="D406" s="3"/>
      <c r="E406" s="3"/>
      <c r="F406" s="3"/>
      <c r="G406" s="3"/>
      <c r="H406" s="12"/>
      <c r="I406" s="12"/>
      <c r="J406" s="3"/>
      <c r="K406" s="3"/>
      <c r="L406" s="3"/>
    </row>
    <row r="407" spans="1:12">
      <c r="A407" s="3"/>
      <c r="B407" s="3"/>
      <c r="C407" s="3"/>
      <c r="D407" s="3"/>
      <c r="E407" s="3"/>
      <c r="F407" s="3"/>
      <c r="G407" s="3"/>
      <c r="H407" s="12"/>
      <c r="I407" s="12"/>
      <c r="J407" s="3"/>
      <c r="K407" s="3"/>
      <c r="L407" s="3"/>
    </row>
    <row r="408" spans="1:12">
      <c r="A408" s="3"/>
      <c r="B408" s="3"/>
      <c r="C408" s="3"/>
      <c r="D408" s="3"/>
      <c r="E408" s="3"/>
      <c r="F408" s="3"/>
      <c r="G408" s="3"/>
      <c r="H408" s="12"/>
      <c r="I408" s="12"/>
      <c r="J408" s="3"/>
      <c r="K408" s="3"/>
      <c r="L408" s="3"/>
    </row>
    <row r="409" spans="1:12">
      <c r="A409" s="3"/>
      <c r="B409" s="3"/>
      <c r="C409" s="3"/>
      <c r="D409" s="3"/>
      <c r="E409" s="3"/>
      <c r="F409" s="3"/>
      <c r="G409" s="3"/>
      <c r="H409" s="12"/>
      <c r="I409" s="12"/>
      <c r="J409" s="3"/>
      <c r="K409" s="3"/>
      <c r="L409" s="3"/>
    </row>
    <row r="410" spans="1:12">
      <c r="A410" s="3"/>
      <c r="B410" s="3"/>
      <c r="C410" s="3"/>
      <c r="D410" s="3"/>
      <c r="E410" s="3"/>
      <c r="F410" s="3"/>
      <c r="G410" s="3"/>
      <c r="H410" s="12"/>
      <c r="I410" s="12"/>
      <c r="J410" s="3"/>
      <c r="K410" s="3"/>
      <c r="L410" s="3"/>
    </row>
    <row r="411" spans="1:12">
      <c r="A411" s="3"/>
      <c r="B411" s="3"/>
      <c r="C411" s="3"/>
      <c r="D411" s="3"/>
      <c r="E411" s="3"/>
      <c r="F411" s="3"/>
      <c r="G411" s="3"/>
      <c r="H411" s="12"/>
      <c r="I411" s="12"/>
      <c r="J411" s="3"/>
      <c r="K411" s="3"/>
      <c r="L411" s="3"/>
    </row>
    <row r="412" spans="1:12">
      <c r="A412" s="3"/>
      <c r="B412" s="3"/>
      <c r="C412" s="3"/>
      <c r="D412" s="3"/>
      <c r="E412" s="3"/>
      <c r="F412" s="3"/>
      <c r="G412" s="3"/>
      <c r="H412" s="12"/>
      <c r="I412" s="12"/>
      <c r="J412" s="3"/>
      <c r="K412" s="3"/>
      <c r="L412" s="3"/>
    </row>
    <row r="413" spans="1:12">
      <c r="A413" s="3"/>
      <c r="B413" s="3"/>
      <c r="C413" s="3"/>
      <c r="D413" s="3"/>
      <c r="E413" s="3"/>
      <c r="F413" s="3"/>
      <c r="G413" s="3"/>
      <c r="H413" s="12"/>
      <c r="I413" s="12"/>
      <c r="J413" s="3"/>
      <c r="K413" s="3"/>
      <c r="L413" s="3"/>
    </row>
    <row r="414" spans="1:12">
      <c r="A414" s="3"/>
      <c r="B414" s="3"/>
      <c r="C414" s="3"/>
      <c r="D414" s="3"/>
      <c r="E414" s="3"/>
      <c r="F414" s="3"/>
      <c r="G414" s="3"/>
      <c r="H414" s="12"/>
      <c r="I414" s="12"/>
      <c r="J414" s="3"/>
      <c r="K414" s="3"/>
      <c r="L414" s="3"/>
    </row>
    <row r="415" spans="1:12">
      <c r="A415" s="3"/>
      <c r="B415" s="3"/>
      <c r="C415" s="3"/>
      <c r="D415" s="3"/>
      <c r="E415" s="3"/>
      <c r="F415" s="3"/>
      <c r="G415" s="3"/>
      <c r="H415" s="12"/>
      <c r="I415" s="12"/>
      <c r="J415" s="3"/>
      <c r="K415" s="3"/>
      <c r="L415" s="3"/>
    </row>
    <row r="416" spans="1:12">
      <c r="A416" s="3"/>
      <c r="B416" s="3"/>
      <c r="C416" s="3"/>
      <c r="D416" s="3"/>
      <c r="E416" s="3"/>
      <c r="F416" s="3"/>
      <c r="G416" s="3"/>
      <c r="H416" s="12"/>
      <c r="I416" s="12"/>
      <c r="J416" s="3"/>
      <c r="K416" s="3"/>
      <c r="L416" s="3"/>
    </row>
    <row r="417" spans="1:12">
      <c r="A417" s="3"/>
      <c r="B417" s="3"/>
      <c r="C417" s="3"/>
      <c r="D417" s="3"/>
      <c r="E417" s="3"/>
      <c r="F417" s="3"/>
      <c r="G417" s="3"/>
      <c r="H417" s="12"/>
      <c r="I417" s="12"/>
      <c r="J417" s="3"/>
      <c r="K417" s="3"/>
      <c r="L417" s="3"/>
    </row>
    <row r="418" spans="1:12">
      <c r="A418" s="3"/>
      <c r="B418" s="3"/>
      <c r="C418" s="3"/>
      <c r="D418" s="3"/>
      <c r="E418" s="3"/>
      <c r="F418" s="3"/>
      <c r="G418" s="3"/>
      <c r="H418" s="12"/>
      <c r="I418" s="12"/>
      <c r="J418" s="3"/>
      <c r="K418" s="3"/>
      <c r="L418" s="3"/>
    </row>
    <row r="419" spans="1:12">
      <c r="A419" s="3"/>
      <c r="B419" s="3"/>
      <c r="C419" s="3"/>
      <c r="D419" s="3"/>
      <c r="E419" s="3"/>
      <c r="F419" s="3"/>
      <c r="G419" s="3"/>
      <c r="H419" s="12"/>
      <c r="I419" s="12"/>
      <c r="J419" s="3"/>
      <c r="K419" s="3"/>
      <c r="L419" s="3"/>
    </row>
    <row r="420" spans="1:12">
      <c r="A420" s="3"/>
      <c r="B420" s="3"/>
      <c r="C420" s="3"/>
      <c r="D420" s="3"/>
      <c r="E420" s="3"/>
      <c r="F420" s="3"/>
      <c r="G420" s="3"/>
      <c r="H420" s="12"/>
      <c r="I420" s="12"/>
      <c r="J420" s="3"/>
      <c r="K420" s="3"/>
      <c r="L420" s="3"/>
    </row>
    <row r="421" spans="1:12">
      <c r="A421" s="3"/>
      <c r="B421" s="3"/>
      <c r="C421" s="3"/>
      <c r="D421" s="3"/>
      <c r="E421" s="3"/>
      <c r="F421" s="3"/>
      <c r="G421" s="3"/>
      <c r="H421" s="12"/>
      <c r="I421" s="12"/>
      <c r="J421" s="3"/>
      <c r="K421" s="3"/>
      <c r="L421" s="3"/>
    </row>
    <row r="422" spans="1:12">
      <c r="A422" s="3"/>
      <c r="B422" s="3"/>
      <c r="C422" s="3"/>
      <c r="D422" s="3"/>
      <c r="E422" s="3"/>
      <c r="F422" s="3"/>
      <c r="G422" s="3"/>
      <c r="H422" s="12"/>
      <c r="I422" s="12"/>
      <c r="J422" s="3"/>
      <c r="K422" s="3"/>
      <c r="L422" s="3"/>
    </row>
    <row r="423" spans="1:12">
      <c r="A423" s="3"/>
      <c r="B423" s="3"/>
      <c r="C423" s="3"/>
      <c r="D423" s="3"/>
      <c r="E423" s="3"/>
      <c r="F423" s="3"/>
      <c r="G423" s="3"/>
      <c r="H423" s="12"/>
      <c r="I423" s="12"/>
      <c r="J423" s="3"/>
      <c r="K423" s="3"/>
      <c r="L423" s="3"/>
    </row>
    <row r="424" spans="1:12">
      <c r="A424" s="3"/>
      <c r="B424" s="3"/>
      <c r="C424" s="3"/>
      <c r="D424" s="3"/>
      <c r="E424" s="3"/>
      <c r="F424" s="3"/>
      <c r="G424" s="3"/>
      <c r="H424" s="12"/>
      <c r="I424" s="12"/>
      <c r="J424" s="3"/>
      <c r="K424" s="3"/>
      <c r="L424" s="3"/>
    </row>
    <row r="425" spans="1:12">
      <c r="A425" s="3"/>
      <c r="B425" s="3"/>
      <c r="C425" s="3"/>
      <c r="D425" s="3"/>
      <c r="E425" s="3"/>
      <c r="F425" s="3"/>
      <c r="G425" s="3"/>
      <c r="H425" s="12"/>
      <c r="I425" s="12"/>
      <c r="J425" s="3"/>
      <c r="K425" s="3"/>
      <c r="L425" s="3"/>
    </row>
    <row r="426" spans="1:12">
      <c r="A426" s="3"/>
      <c r="B426" s="3"/>
      <c r="C426" s="3"/>
      <c r="D426" s="3"/>
      <c r="E426" s="3"/>
      <c r="F426" s="3"/>
      <c r="G426" s="3"/>
      <c r="H426" s="12"/>
      <c r="I426" s="12"/>
      <c r="J426" s="3"/>
      <c r="K426" s="3"/>
      <c r="L426" s="3"/>
    </row>
    <row r="427" spans="1:12">
      <c r="A427" s="3"/>
      <c r="B427" s="3"/>
      <c r="C427" s="3"/>
      <c r="D427" s="3"/>
      <c r="E427" s="3"/>
      <c r="F427" s="3"/>
      <c r="G427" s="3"/>
      <c r="H427" s="12"/>
      <c r="I427" s="12"/>
      <c r="J427" s="3"/>
      <c r="K427" s="3"/>
      <c r="L427" s="3"/>
    </row>
    <row r="428" spans="1:12">
      <c r="A428" s="3"/>
      <c r="B428" s="3"/>
      <c r="C428" s="3"/>
      <c r="D428" s="3"/>
      <c r="E428" s="3"/>
      <c r="F428" s="3"/>
      <c r="G428" s="3"/>
      <c r="H428" s="12"/>
      <c r="I428" s="12"/>
      <c r="J428" s="3"/>
      <c r="K428" s="3"/>
      <c r="L428" s="3"/>
    </row>
    <row r="429" spans="1:12">
      <c r="A429" s="3"/>
      <c r="B429" s="3"/>
      <c r="C429" s="3"/>
      <c r="D429" s="3"/>
      <c r="E429" s="3"/>
      <c r="F429" s="3"/>
      <c r="G429" s="3"/>
      <c r="H429" s="12"/>
      <c r="I429" s="12"/>
      <c r="J429" s="3"/>
      <c r="K429" s="3"/>
      <c r="L429" s="3"/>
    </row>
    <row r="430" spans="1:12">
      <c r="A430" s="3"/>
      <c r="B430" s="3"/>
      <c r="C430" s="3"/>
      <c r="D430" s="3"/>
      <c r="E430" s="3"/>
      <c r="F430" s="3"/>
      <c r="G430" s="3"/>
      <c r="H430" s="12"/>
      <c r="I430" s="12"/>
      <c r="J430" s="3"/>
      <c r="K430" s="3"/>
      <c r="L430" s="3"/>
    </row>
    <row r="431" spans="1:12">
      <c r="A431" s="3"/>
      <c r="B431" s="3"/>
      <c r="C431" s="3"/>
      <c r="D431" s="3"/>
      <c r="E431" s="3"/>
      <c r="F431" s="3"/>
      <c r="G431" s="3"/>
      <c r="H431" s="12"/>
      <c r="I431" s="12"/>
      <c r="J431" s="3"/>
      <c r="K431" s="3"/>
      <c r="L431" s="3"/>
    </row>
    <row r="432" spans="1:12">
      <c r="A432" s="3"/>
      <c r="B432" s="3"/>
      <c r="C432" s="3"/>
      <c r="D432" s="3"/>
      <c r="E432" s="3"/>
      <c r="F432" s="3"/>
      <c r="G432" s="3"/>
      <c r="H432" s="12"/>
      <c r="I432" s="12"/>
      <c r="J432" s="3"/>
      <c r="K432" s="3"/>
      <c r="L432" s="3"/>
    </row>
    <row r="433" spans="1:12">
      <c r="A433" s="3"/>
      <c r="B433" s="3"/>
      <c r="C433" s="3"/>
      <c r="D433" s="3"/>
      <c r="E433" s="3"/>
      <c r="F433" s="3"/>
      <c r="G433" s="3"/>
      <c r="H433" s="12"/>
      <c r="I433" s="12"/>
      <c r="J433" s="3"/>
      <c r="K433" s="3"/>
      <c r="L433" s="3"/>
    </row>
    <row r="434" spans="1:12">
      <c r="A434" s="3"/>
      <c r="B434" s="3"/>
      <c r="C434" s="3"/>
      <c r="D434" s="3"/>
      <c r="E434" s="3"/>
      <c r="F434" s="3"/>
      <c r="G434" s="3"/>
      <c r="H434" s="12"/>
      <c r="I434" s="12"/>
      <c r="J434" s="3"/>
      <c r="K434" s="3"/>
      <c r="L434" s="3"/>
    </row>
    <row r="435" spans="1:12">
      <c r="A435" s="3"/>
      <c r="B435" s="3"/>
      <c r="C435" s="3"/>
      <c r="D435" s="3"/>
      <c r="E435" s="3"/>
      <c r="F435" s="3"/>
      <c r="G435" s="3"/>
      <c r="H435" s="12"/>
      <c r="I435" s="12"/>
      <c r="J435" s="3"/>
      <c r="K435" s="3"/>
      <c r="L435" s="3"/>
    </row>
    <row r="436" spans="1:12">
      <c r="A436" s="3"/>
      <c r="B436" s="3"/>
      <c r="C436" s="3"/>
      <c r="D436" s="3"/>
      <c r="E436" s="3"/>
      <c r="F436" s="3"/>
      <c r="G436" s="3"/>
      <c r="H436" s="12"/>
      <c r="I436" s="12"/>
      <c r="J436" s="3"/>
      <c r="K436" s="3"/>
      <c r="L436" s="3"/>
    </row>
    <row r="437" spans="1:12">
      <c r="A437" s="3"/>
      <c r="B437" s="3"/>
      <c r="C437" s="3"/>
      <c r="D437" s="3"/>
      <c r="E437" s="3"/>
      <c r="F437" s="3"/>
      <c r="G437" s="3"/>
      <c r="H437" s="12"/>
      <c r="I437" s="12"/>
      <c r="J437" s="3"/>
      <c r="K437" s="3"/>
      <c r="L437" s="3"/>
    </row>
    <row r="438" spans="1:12">
      <c r="A438" s="3"/>
      <c r="B438" s="3"/>
      <c r="C438" s="3"/>
      <c r="D438" s="3"/>
      <c r="E438" s="3"/>
      <c r="F438" s="3"/>
      <c r="G438" s="3"/>
      <c r="H438" s="12"/>
      <c r="I438" s="12"/>
      <c r="J438" s="3"/>
      <c r="K438" s="3"/>
      <c r="L438" s="3"/>
    </row>
    <row r="439" spans="1:12">
      <c r="A439" s="3"/>
      <c r="B439" s="3"/>
      <c r="C439" s="3"/>
      <c r="D439" s="3"/>
      <c r="E439" s="3"/>
      <c r="F439" s="3"/>
      <c r="G439" s="3"/>
      <c r="H439" s="12"/>
      <c r="I439" s="12"/>
      <c r="J439" s="3"/>
      <c r="K439" s="3"/>
      <c r="L439" s="3"/>
    </row>
    <row r="440" spans="1:12">
      <c r="A440" s="3"/>
      <c r="B440" s="3"/>
      <c r="C440" s="3"/>
      <c r="D440" s="3"/>
      <c r="E440" s="3"/>
      <c r="F440" s="3"/>
      <c r="G440" s="3"/>
      <c r="H440" s="12"/>
      <c r="I440" s="12"/>
      <c r="J440" s="3"/>
      <c r="K440" s="3"/>
      <c r="L440" s="3"/>
    </row>
    <row r="441" spans="1:12">
      <c r="A441" s="3"/>
      <c r="B441" s="3"/>
      <c r="C441" s="3"/>
      <c r="D441" s="3"/>
      <c r="E441" s="3"/>
      <c r="F441" s="3"/>
      <c r="G441" s="3"/>
      <c r="H441" s="12"/>
      <c r="I441" s="12"/>
      <c r="J441" s="3"/>
      <c r="K441" s="3"/>
      <c r="L441" s="3"/>
    </row>
    <row r="442" spans="1:12">
      <c r="A442" s="3"/>
      <c r="B442" s="3"/>
      <c r="C442" s="3"/>
      <c r="D442" s="3"/>
      <c r="E442" s="3"/>
      <c r="F442" s="3"/>
      <c r="G442" s="3"/>
      <c r="H442" s="12"/>
      <c r="I442" s="12"/>
      <c r="J442" s="3"/>
      <c r="K442" s="3"/>
      <c r="L442" s="3"/>
    </row>
    <row r="443" spans="1:12">
      <c r="A443" s="3"/>
      <c r="B443" s="3"/>
      <c r="C443" s="3"/>
      <c r="D443" s="3"/>
      <c r="E443" s="3"/>
      <c r="F443" s="3"/>
      <c r="G443" s="3"/>
      <c r="H443" s="12"/>
      <c r="I443" s="12"/>
      <c r="J443" s="3"/>
      <c r="K443" s="3"/>
      <c r="L443" s="3"/>
    </row>
    <row r="444" spans="1:12">
      <c r="A444" s="3"/>
      <c r="B444" s="3"/>
      <c r="C444" s="3"/>
      <c r="D444" s="3"/>
      <c r="E444" s="3"/>
      <c r="F444" s="3"/>
      <c r="G444" s="3"/>
      <c r="H444" s="12"/>
      <c r="I444" s="12"/>
      <c r="J444" s="3"/>
      <c r="K444" s="3"/>
      <c r="L444" s="3"/>
    </row>
    <row r="445" spans="1:12">
      <c r="A445" s="3"/>
      <c r="B445" s="3"/>
      <c r="C445" s="3"/>
      <c r="D445" s="3"/>
      <c r="E445" s="3"/>
      <c r="F445" s="3"/>
      <c r="G445" s="3"/>
      <c r="H445" s="12"/>
      <c r="I445" s="12"/>
      <c r="J445" s="3"/>
      <c r="K445" s="3"/>
      <c r="L445" s="3"/>
    </row>
    <row r="446" spans="1:12">
      <c r="A446" s="3"/>
      <c r="B446" s="3"/>
      <c r="C446" s="3"/>
      <c r="D446" s="3"/>
      <c r="E446" s="3"/>
      <c r="F446" s="3"/>
      <c r="G446" s="3"/>
      <c r="H446" s="12"/>
      <c r="I446" s="12"/>
      <c r="J446" s="3"/>
      <c r="K446" s="3"/>
      <c r="L446" s="3"/>
    </row>
    <row r="447" spans="1:12">
      <c r="A447" s="3"/>
      <c r="B447" s="3"/>
      <c r="C447" s="3"/>
      <c r="D447" s="3"/>
      <c r="E447" s="3"/>
      <c r="F447" s="3"/>
      <c r="G447" s="3"/>
      <c r="H447" s="12"/>
      <c r="I447" s="12"/>
      <c r="J447" s="3"/>
      <c r="K447" s="3"/>
      <c r="L447" s="3"/>
    </row>
    <row r="448" spans="1:12">
      <c r="A448" s="3"/>
      <c r="B448" s="3"/>
      <c r="C448" s="3"/>
      <c r="D448" s="3"/>
      <c r="E448" s="3"/>
      <c r="F448" s="3"/>
      <c r="G448" s="3"/>
      <c r="H448" s="12"/>
      <c r="I448" s="12"/>
      <c r="J448" s="3"/>
      <c r="K448" s="3"/>
      <c r="L448" s="3"/>
    </row>
    <row r="449" spans="1:12">
      <c r="A449" s="3"/>
      <c r="B449" s="3"/>
      <c r="C449" s="3"/>
      <c r="D449" s="3"/>
      <c r="E449" s="3"/>
      <c r="F449" s="3"/>
      <c r="G449" s="3"/>
      <c r="H449" s="12"/>
      <c r="I449" s="12"/>
      <c r="J449" s="3"/>
      <c r="K449" s="3"/>
      <c r="L449" s="3"/>
    </row>
    <row r="450" spans="1:12">
      <c r="A450" s="3"/>
      <c r="B450" s="3"/>
      <c r="C450" s="3"/>
      <c r="D450" s="3"/>
      <c r="E450" s="3"/>
      <c r="F450" s="3"/>
      <c r="G450" s="3"/>
      <c r="H450" s="12"/>
      <c r="I450" s="12"/>
      <c r="J450" s="3"/>
      <c r="K450" s="3"/>
      <c r="L450" s="3"/>
    </row>
    <row r="451" spans="1:12">
      <c r="A451" s="3"/>
      <c r="B451" s="3"/>
      <c r="C451" s="3"/>
      <c r="D451" s="3"/>
      <c r="E451" s="3"/>
      <c r="F451" s="3"/>
      <c r="G451" s="3"/>
      <c r="H451" s="12"/>
      <c r="I451" s="12"/>
      <c r="J451" s="3"/>
      <c r="K451" s="3"/>
      <c r="L451" s="3"/>
    </row>
    <row r="452" spans="1:12">
      <c r="A452" s="3"/>
      <c r="B452" s="3"/>
      <c r="C452" s="3"/>
      <c r="D452" s="3"/>
      <c r="E452" s="3"/>
      <c r="F452" s="3"/>
      <c r="G452" s="3"/>
      <c r="H452" s="12"/>
      <c r="I452" s="12"/>
      <c r="J452" s="3"/>
      <c r="K452" s="3"/>
      <c r="L452" s="3"/>
    </row>
    <row r="453" spans="1:12">
      <c r="A453" s="3"/>
      <c r="B453" s="3"/>
      <c r="C453" s="3"/>
      <c r="D453" s="3"/>
      <c r="E453" s="3"/>
      <c r="F453" s="3"/>
      <c r="G453" s="3"/>
      <c r="H453" s="12"/>
      <c r="I453" s="12"/>
      <c r="J453" s="3"/>
      <c r="K453" s="3"/>
      <c r="L453" s="3"/>
    </row>
    <row r="454" spans="1:12">
      <c r="A454" s="3"/>
      <c r="B454" s="3"/>
      <c r="C454" s="3"/>
      <c r="D454" s="3"/>
      <c r="E454" s="3"/>
      <c r="F454" s="3"/>
      <c r="G454" s="3"/>
      <c r="H454" s="12"/>
      <c r="I454" s="12"/>
      <c r="J454" s="3"/>
      <c r="K454" s="3"/>
      <c r="L454" s="3"/>
    </row>
    <row r="455" spans="1:12">
      <c r="A455" s="3"/>
      <c r="B455" s="3"/>
      <c r="C455" s="3"/>
      <c r="D455" s="3"/>
      <c r="E455" s="3"/>
      <c r="F455" s="3"/>
      <c r="G455" s="3"/>
      <c r="H455" s="12"/>
      <c r="I455" s="12"/>
      <c r="J455" s="3"/>
      <c r="K455" s="3"/>
      <c r="L455" s="3"/>
    </row>
    <row r="456" spans="1:12">
      <c r="A456" s="3"/>
      <c r="B456" s="3"/>
      <c r="C456" s="3"/>
      <c r="D456" s="3"/>
      <c r="E456" s="3"/>
      <c r="F456" s="3"/>
      <c r="G456" s="3"/>
      <c r="H456" s="12"/>
      <c r="I456" s="12"/>
      <c r="J456" s="3"/>
      <c r="K456" s="3"/>
      <c r="L456" s="3"/>
    </row>
    <row r="457" spans="1:12">
      <c r="A457" s="3"/>
      <c r="B457" s="3"/>
      <c r="C457" s="3"/>
      <c r="D457" s="3"/>
      <c r="E457" s="3"/>
      <c r="F457" s="3"/>
      <c r="G457" s="3"/>
      <c r="H457" s="12"/>
      <c r="I457" s="12"/>
      <c r="J457" s="3"/>
      <c r="K457" s="3"/>
      <c r="L457" s="3"/>
    </row>
    <row r="458" spans="1:12">
      <c r="A458" s="3"/>
      <c r="B458" s="3"/>
      <c r="C458" s="3"/>
      <c r="D458" s="3"/>
      <c r="E458" s="3"/>
      <c r="F458" s="3"/>
      <c r="G458" s="3"/>
      <c r="H458" s="12"/>
      <c r="I458" s="12"/>
      <c r="J458" s="3"/>
      <c r="K458" s="3"/>
      <c r="L458" s="3"/>
    </row>
    <row r="459" spans="1:12">
      <c r="A459" s="3"/>
      <c r="B459" s="3"/>
      <c r="C459" s="3"/>
      <c r="D459" s="3"/>
      <c r="E459" s="3"/>
      <c r="F459" s="3"/>
      <c r="G459" s="3"/>
      <c r="H459" s="12"/>
      <c r="I459" s="12"/>
      <c r="J459" s="3"/>
      <c r="K459" s="3"/>
      <c r="L459" s="3"/>
    </row>
    <row r="460" spans="1:12">
      <c r="A460" s="3"/>
      <c r="B460" s="3"/>
      <c r="C460" s="3"/>
      <c r="D460" s="3"/>
      <c r="E460" s="3"/>
      <c r="F460" s="3"/>
      <c r="G460" s="3"/>
      <c r="H460" s="12"/>
      <c r="I460" s="12"/>
      <c r="J460" s="3"/>
      <c r="K460" s="3"/>
      <c r="L460" s="3"/>
    </row>
    <row r="461" spans="1:12">
      <c r="A461" s="3"/>
      <c r="B461" s="3"/>
      <c r="C461" s="3"/>
      <c r="D461" s="3"/>
      <c r="E461" s="3"/>
      <c r="F461" s="3"/>
      <c r="G461" s="3"/>
      <c r="H461" s="12"/>
      <c r="I461" s="12"/>
      <c r="J461" s="3"/>
      <c r="K461" s="3"/>
      <c r="L461" s="3"/>
    </row>
    <row r="462" spans="1:12">
      <c r="A462" s="3"/>
      <c r="B462" s="3"/>
      <c r="C462" s="3"/>
      <c r="D462" s="3"/>
      <c r="E462" s="3"/>
      <c r="F462" s="3"/>
      <c r="G462" s="3"/>
      <c r="H462" s="12"/>
      <c r="I462" s="12"/>
      <c r="J462" s="3"/>
      <c r="K462" s="3"/>
      <c r="L462" s="3"/>
    </row>
    <row r="463" spans="1:12">
      <c r="A463" s="3"/>
      <c r="B463" s="3"/>
      <c r="C463" s="3"/>
      <c r="D463" s="3"/>
      <c r="E463" s="3"/>
      <c r="F463" s="3"/>
      <c r="G463" s="3"/>
      <c r="H463" s="12"/>
      <c r="I463" s="12"/>
      <c r="J463" s="3"/>
      <c r="K463" s="3"/>
      <c r="L463" s="3"/>
    </row>
    <row r="464" spans="1:12">
      <c r="A464" s="3"/>
      <c r="B464" s="3"/>
      <c r="C464" s="3"/>
      <c r="D464" s="3"/>
      <c r="E464" s="3"/>
      <c r="F464" s="3"/>
      <c r="G464" s="3"/>
      <c r="H464" s="12"/>
      <c r="I464" s="12"/>
      <c r="J464" s="3"/>
      <c r="K464" s="3"/>
      <c r="L464" s="3"/>
    </row>
    <row r="465" spans="1:12">
      <c r="A465" s="3"/>
      <c r="B465" s="3"/>
      <c r="C465" s="3"/>
      <c r="D465" s="3"/>
      <c r="E465" s="3"/>
      <c r="F465" s="3"/>
      <c r="G465" s="3"/>
      <c r="H465" s="12"/>
      <c r="I465" s="12"/>
      <c r="J465" s="3"/>
      <c r="K465" s="3"/>
      <c r="L465" s="3"/>
    </row>
    <row r="466" spans="1:12">
      <c r="A466" s="3"/>
      <c r="B466" s="3"/>
      <c r="C466" s="3"/>
      <c r="D466" s="3"/>
      <c r="E466" s="3"/>
      <c r="F466" s="3"/>
      <c r="G466" s="3"/>
      <c r="H466" s="12"/>
      <c r="I466" s="12"/>
      <c r="J466" s="3"/>
      <c r="K466" s="3"/>
      <c r="L466" s="3"/>
    </row>
    <row r="467" spans="1:12">
      <c r="A467" s="3"/>
      <c r="B467" s="3"/>
      <c r="C467" s="3"/>
      <c r="D467" s="3"/>
      <c r="E467" s="3"/>
      <c r="F467" s="3"/>
      <c r="G467" s="3"/>
      <c r="H467" s="12"/>
      <c r="I467" s="12"/>
      <c r="J467" s="3"/>
      <c r="K467" s="3"/>
      <c r="L467" s="3"/>
    </row>
    <row r="468" spans="1:12">
      <c r="A468" s="3"/>
      <c r="B468" s="3"/>
      <c r="C468" s="3"/>
      <c r="D468" s="3"/>
      <c r="E468" s="3"/>
      <c r="F468" s="3"/>
      <c r="G468" s="3"/>
      <c r="H468" s="12"/>
      <c r="I468" s="12"/>
      <c r="J468" s="3"/>
      <c r="K468" s="3"/>
      <c r="L468" s="3"/>
    </row>
    <row r="469" spans="1:12">
      <c r="A469" s="3"/>
      <c r="B469" s="3"/>
      <c r="C469" s="3"/>
      <c r="D469" s="3"/>
      <c r="E469" s="3"/>
      <c r="F469" s="3"/>
      <c r="G469" s="3"/>
      <c r="H469" s="12"/>
      <c r="I469" s="12"/>
      <c r="J469" s="3"/>
      <c r="K469" s="3"/>
      <c r="L469" s="3"/>
    </row>
    <row r="470" spans="1:12">
      <c r="A470" s="3"/>
      <c r="B470" s="3"/>
      <c r="C470" s="3"/>
      <c r="D470" s="3"/>
      <c r="E470" s="3"/>
      <c r="F470" s="3"/>
      <c r="G470" s="3"/>
      <c r="H470" s="12"/>
      <c r="I470" s="12"/>
      <c r="J470" s="3"/>
      <c r="K470" s="3"/>
      <c r="L470" s="3"/>
    </row>
    <row r="471" spans="1:12">
      <c r="A471" s="3"/>
      <c r="B471" s="3"/>
      <c r="C471" s="3"/>
      <c r="D471" s="3"/>
      <c r="E471" s="3"/>
      <c r="F471" s="3"/>
      <c r="G471" s="3"/>
      <c r="H471" s="12"/>
      <c r="I471" s="12"/>
      <c r="J471" s="3"/>
      <c r="K471" s="3"/>
      <c r="L471" s="3"/>
    </row>
    <row r="472" spans="1:12">
      <c r="A472" s="3"/>
      <c r="B472" s="3"/>
      <c r="C472" s="3"/>
      <c r="D472" s="3"/>
      <c r="E472" s="3"/>
      <c r="F472" s="3"/>
      <c r="G472" s="3"/>
      <c r="H472" s="12"/>
      <c r="I472" s="12"/>
      <c r="J472" s="3"/>
      <c r="K472" s="3"/>
      <c r="L472" s="3"/>
    </row>
    <row r="473" spans="1:12">
      <c r="A473" s="3"/>
      <c r="B473" s="3"/>
      <c r="C473" s="3"/>
      <c r="D473" s="3"/>
      <c r="E473" s="3"/>
      <c r="F473" s="3"/>
      <c r="G473" s="3"/>
      <c r="H473" s="12"/>
      <c r="I473" s="12"/>
      <c r="J473" s="3"/>
      <c r="K473" s="3"/>
      <c r="L473" s="3"/>
    </row>
    <row r="474" spans="1:12">
      <c r="A474" s="3"/>
      <c r="B474" s="3"/>
      <c r="C474" s="3"/>
      <c r="D474" s="3"/>
      <c r="E474" s="3"/>
      <c r="F474" s="3"/>
      <c r="G474" s="3"/>
      <c r="H474" s="12"/>
      <c r="I474" s="12"/>
      <c r="J474" s="3"/>
      <c r="K474" s="3"/>
      <c r="L474" s="3"/>
    </row>
    <row r="475" spans="1:12">
      <c r="A475" s="3"/>
      <c r="B475" s="3"/>
      <c r="C475" s="3"/>
      <c r="D475" s="3"/>
      <c r="E475" s="3"/>
      <c r="F475" s="3"/>
      <c r="G475" s="3"/>
      <c r="H475" s="12"/>
      <c r="I475" s="12"/>
      <c r="J475" s="3"/>
      <c r="K475" s="3"/>
      <c r="L475" s="3"/>
    </row>
    <row r="476" spans="1:12">
      <c r="A476" s="3"/>
      <c r="B476" s="3"/>
      <c r="C476" s="3"/>
      <c r="D476" s="3"/>
      <c r="E476" s="3"/>
      <c r="F476" s="3"/>
      <c r="G476" s="3"/>
      <c r="H476" s="12"/>
      <c r="I476" s="12"/>
      <c r="J476" s="3"/>
      <c r="K476" s="3"/>
      <c r="L476" s="3"/>
    </row>
    <row r="477" spans="1:12">
      <c r="A477" s="3"/>
      <c r="B477" s="3"/>
      <c r="C477" s="3"/>
      <c r="D477" s="3"/>
      <c r="E477" s="3"/>
      <c r="F477" s="3"/>
      <c r="G477" s="3"/>
      <c r="H477" s="12"/>
      <c r="I477" s="12"/>
      <c r="J477" s="3"/>
      <c r="K477" s="3"/>
      <c r="L477" s="3"/>
    </row>
    <row r="478" spans="1:12">
      <c r="A478" s="3"/>
      <c r="B478" s="3"/>
      <c r="C478" s="3"/>
      <c r="D478" s="3"/>
      <c r="E478" s="3"/>
      <c r="F478" s="3"/>
      <c r="G478" s="3"/>
      <c r="H478" s="12"/>
      <c r="I478" s="12"/>
      <c r="J478" s="3"/>
      <c r="K478" s="3"/>
      <c r="L478" s="3"/>
    </row>
    <row r="479" spans="1:12">
      <c r="A479" s="3"/>
      <c r="B479" s="3"/>
      <c r="C479" s="3"/>
      <c r="D479" s="3"/>
      <c r="E479" s="3"/>
      <c r="F479" s="3"/>
      <c r="G479" s="3"/>
      <c r="H479" s="12"/>
      <c r="I479" s="12"/>
      <c r="J479" s="3"/>
      <c r="K479" s="3"/>
      <c r="L479" s="3"/>
    </row>
    <row r="480" spans="1:12">
      <c r="A480" s="3"/>
      <c r="B480" s="3"/>
      <c r="C480" s="3"/>
      <c r="D480" s="3"/>
      <c r="E480" s="3"/>
      <c r="F480" s="3"/>
      <c r="G480" s="3"/>
      <c r="H480" s="12"/>
      <c r="I480" s="12"/>
      <c r="J480" s="3"/>
      <c r="K480" s="3"/>
      <c r="L480" s="3"/>
    </row>
    <row r="481" spans="1:12">
      <c r="A481" s="3"/>
      <c r="B481" s="3"/>
      <c r="C481" s="3"/>
      <c r="D481" s="3"/>
      <c r="E481" s="3"/>
      <c r="F481" s="3"/>
      <c r="G481" s="3"/>
      <c r="H481" s="12"/>
      <c r="I481" s="12"/>
      <c r="J481" s="3"/>
      <c r="K481" s="3"/>
      <c r="L481" s="3"/>
    </row>
    <row r="482" spans="1:12">
      <c r="A482" s="3"/>
      <c r="B482" s="3"/>
      <c r="C482" s="3"/>
      <c r="D482" s="3"/>
      <c r="E482" s="3"/>
      <c r="F482" s="3"/>
      <c r="G482" s="3"/>
      <c r="H482" s="12"/>
      <c r="I482" s="12"/>
      <c r="J482" s="3"/>
      <c r="K482" s="3"/>
      <c r="L482" s="3"/>
    </row>
    <row r="483" spans="1:12">
      <c r="A483" s="3"/>
      <c r="B483" s="3"/>
      <c r="C483" s="3"/>
      <c r="D483" s="3"/>
      <c r="E483" s="3"/>
      <c r="F483" s="3"/>
      <c r="G483" s="3"/>
      <c r="H483" s="12"/>
      <c r="I483" s="12"/>
      <c r="J483" s="3"/>
      <c r="K483" s="3"/>
      <c r="L483" s="3"/>
    </row>
    <row r="484" spans="1:12">
      <c r="A484" s="3"/>
      <c r="B484" s="3"/>
      <c r="C484" s="3"/>
      <c r="D484" s="3"/>
      <c r="E484" s="3"/>
      <c r="F484" s="3"/>
      <c r="G484" s="3"/>
      <c r="H484" s="12"/>
      <c r="I484" s="12"/>
      <c r="J484" s="3"/>
      <c r="K484" s="3"/>
      <c r="L484" s="3"/>
    </row>
    <row r="485" spans="1:12">
      <c r="A485" s="3"/>
      <c r="B485" s="3"/>
      <c r="C485" s="3"/>
      <c r="D485" s="3"/>
      <c r="E485" s="3"/>
      <c r="F485" s="3"/>
      <c r="G485" s="3"/>
      <c r="H485" s="12"/>
      <c r="I485" s="12"/>
      <c r="J485" s="3"/>
      <c r="K485" s="3"/>
      <c r="L485" s="3"/>
    </row>
    <row r="486" spans="1:12">
      <c r="A486" s="3"/>
      <c r="B486" s="3"/>
      <c r="C486" s="3"/>
      <c r="D486" s="3"/>
      <c r="E486" s="3"/>
      <c r="F486" s="3"/>
      <c r="G486" s="3"/>
      <c r="H486" s="12"/>
      <c r="I486" s="12"/>
      <c r="J486" s="3"/>
      <c r="K486" s="3"/>
      <c r="L486" s="3"/>
    </row>
    <row r="487" spans="1:12">
      <c r="A487" s="3"/>
      <c r="B487" s="3"/>
      <c r="C487" s="3"/>
      <c r="D487" s="3"/>
      <c r="E487" s="3"/>
      <c r="F487" s="3"/>
      <c r="G487" s="3"/>
      <c r="H487" s="12"/>
      <c r="I487" s="12"/>
      <c r="J487" s="3"/>
      <c r="K487" s="3"/>
      <c r="L487" s="3"/>
    </row>
    <row r="488" spans="1:12">
      <c r="A488" s="3"/>
      <c r="B488" s="3"/>
      <c r="C488" s="3"/>
      <c r="D488" s="3"/>
      <c r="E488" s="3"/>
      <c r="F488" s="3"/>
      <c r="G488" s="3"/>
      <c r="H488" s="12"/>
      <c r="I488" s="12"/>
      <c r="J488" s="3"/>
      <c r="K488" s="3"/>
      <c r="L488" s="3"/>
    </row>
    <row r="489" spans="1:12">
      <c r="A489" s="3"/>
      <c r="B489" s="3"/>
      <c r="C489" s="3"/>
      <c r="D489" s="3"/>
      <c r="E489" s="3"/>
      <c r="F489" s="3"/>
      <c r="G489" s="3"/>
      <c r="H489" s="12"/>
      <c r="I489" s="12"/>
      <c r="J489" s="3"/>
      <c r="K489" s="3"/>
      <c r="L489" s="3"/>
    </row>
    <row r="490" spans="1:12">
      <c r="A490" s="3"/>
      <c r="B490" s="3"/>
      <c r="C490" s="3"/>
      <c r="D490" s="3"/>
      <c r="E490" s="3"/>
      <c r="F490" s="3"/>
      <c r="G490" s="3"/>
      <c r="H490" s="12"/>
      <c r="I490" s="12"/>
      <c r="J490" s="3"/>
      <c r="K490" s="3"/>
      <c r="L490" s="3"/>
    </row>
    <row r="491" spans="1:12">
      <c r="A491" s="3"/>
      <c r="B491" s="3"/>
      <c r="C491" s="3"/>
      <c r="D491" s="3"/>
      <c r="E491" s="3"/>
      <c r="F491" s="3"/>
      <c r="G491" s="3"/>
      <c r="H491" s="12"/>
      <c r="I491" s="12"/>
      <c r="J491" s="3"/>
      <c r="K491" s="3"/>
      <c r="L491" s="3"/>
    </row>
    <row r="492" spans="1:12">
      <c r="A492" s="3"/>
      <c r="B492" s="3"/>
      <c r="C492" s="3"/>
      <c r="D492" s="3"/>
      <c r="E492" s="3"/>
      <c r="F492" s="3"/>
      <c r="G492" s="3"/>
      <c r="H492" s="12"/>
      <c r="I492" s="12"/>
      <c r="J492" s="3"/>
      <c r="K492" s="3"/>
      <c r="L492" s="3"/>
    </row>
    <row r="493" spans="1:12">
      <c r="A493" s="3"/>
      <c r="B493" s="3"/>
      <c r="C493" s="3"/>
      <c r="D493" s="3"/>
      <c r="E493" s="3"/>
      <c r="F493" s="3"/>
      <c r="G493" s="3"/>
      <c r="H493" s="12"/>
      <c r="I493" s="12"/>
      <c r="J493" s="3"/>
      <c r="K493" s="3"/>
      <c r="L493" s="3"/>
    </row>
    <row r="494" spans="1:12">
      <c r="A494" s="3"/>
      <c r="B494" s="3"/>
      <c r="C494" s="3"/>
      <c r="D494" s="3"/>
      <c r="E494" s="3"/>
      <c r="F494" s="3"/>
      <c r="G494" s="3"/>
      <c r="H494" s="12"/>
      <c r="I494" s="12"/>
      <c r="J494" s="3"/>
      <c r="K494" s="3"/>
      <c r="L494" s="3"/>
    </row>
    <row r="495" spans="1:12">
      <c r="A495" s="3"/>
      <c r="B495" s="3"/>
      <c r="C495" s="3"/>
      <c r="D495" s="3"/>
      <c r="E495" s="3"/>
      <c r="F495" s="3"/>
      <c r="G495" s="3"/>
      <c r="H495" s="12"/>
      <c r="I495" s="12"/>
      <c r="J495" s="3"/>
      <c r="K495" s="3"/>
      <c r="L495" s="3"/>
    </row>
    <row r="496" spans="1:12">
      <c r="A496" s="3"/>
      <c r="B496" s="3"/>
      <c r="C496" s="3"/>
      <c r="D496" s="3"/>
      <c r="E496" s="3"/>
      <c r="F496" s="3"/>
      <c r="G496" s="3"/>
      <c r="H496" s="12"/>
      <c r="I496" s="12"/>
      <c r="J496" s="3"/>
      <c r="K496" s="3"/>
      <c r="L496" s="3"/>
    </row>
    <row r="497" spans="1:12">
      <c r="A497" s="3"/>
      <c r="B497" s="3"/>
      <c r="C497" s="3"/>
      <c r="D497" s="3"/>
      <c r="E497" s="3"/>
      <c r="F497" s="3"/>
      <c r="G497" s="3"/>
      <c r="H497" s="12"/>
      <c r="I497" s="12"/>
      <c r="J497" s="3"/>
      <c r="K497" s="3"/>
      <c r="L497" s="3"/>
    </row>
    <row r="498" spans="1:12">
      <c r="A498" s="3"/>
      <c r="B498" s="3"/>
      <c r="C498" s="3"/>
      <c r="D498" s="3"/>
      <c r="E498" s="3"/>
      <c r="F498" s="3"/>
      <c r="G498" s="3"/>
      <c r="H498" s="12"/>
      <c r="I498" s="12"/>
      <c r="J498" s="3"/>
      <c r="K498" s="3"/>
      <c r="L498" s="3"/>
    </row>
    <row r="499" spans="1:12">
      <c r="A499" s="3"/>
      <c r="B499" s="3"/>
      <c r="C499" s="3"/>
      <c r="D499" s="3"/>
      <c r="E499" s="3"/>
      <c r="F499" s="3"/>
      <c r="G499" s="3"/>
      <c r="H499" s="12"/>
      <c r="I499" s="12"/>
      <c r="J499" s="3"/>
      <c r="K499" s="3"/>
      <c r="L499" s="3"/>
    </row>
    <row r="500" spans="1:12">
      <c r="A500" s="3"/>
      <c r="B500" s="3"/>
      <c r="C500" s="3"/>
      <c r="D500" s="3"/>
      <c r="E500" s="3"/>
      <c r="F500" s="3"/>
      <c r="G500" s="3"/>
      <c r="H500" s="12"/>
      <c r="I500" s="12"/>
      <c r="J500" s="3"/>
      <c r="K500" s="3"/>
      <c r="L500" s="3"/>
    </row>
  </sheetData>
  <mergeCells count="1">
    <mergeCell ref="A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workbookViewId="0"/>
  </sheetViews>
  <sheetFormatPr defaultRowHeight="14"/>
  <cols>
    <col min="1" max="8" width="24" customWidth="1"/>
  </cols>
  <sheetData>
    <row r="1" spans="1:8" ht="19">
      <c r="A1" s="15" t="s">
        <v>939</v>
      </c>
      <c r="B1" s="15" t="s">
        <v>939</v>
      </c>
      <c r="C1" s="15" t="s">
        <v>939</v>
      </c>
      <c r="D1" s="15" t="s">
        <v>939</v>
      </c>
      <c r="E1" s="15" t="s">
        <v>939</v>
      </c>
      <c r="F1" s="15" t="s">
        <v>939</v>
      </c>
      <c r="G1" s="15" t="s">
        <v>939</v>
      </c>
      <c r="H1" s="15" t="s">
        <v>939</v>
      </c>
    </row>
    <row r="3" spans="1:8">
      <c r="A3" s="11" t="s">
        <v>39</v>
      </c>
      <c r="B3" s="11" t="s">
        <v>875</v>
      </c>
      <c r="C3" s="11" t="s">
        <v>870</v>
      </c>
      <c r="D3" s="11" t="s">
        <v>871</v>
      </c>
      <c r="E3" s="11" t="s">
        <v>894</v>
      </c>
      <c r="F3" s="11" t="s">
        <v>878</v>
      </c>
      <c r="G3" s="11" t="s">
        <v>920</v>
      </c>
      <c r="H3" s="11" t="s">
        <v>940</v>
      </c>
    </row>
    <row r="4" spans="1:8">
      <c r="A4" t="s">
        <v>941</v>
      </c>
      <c r="B4" t="s">
        <v>95</v>
      </c>
      <c r="C4" t="s">
        <v>942</v>
      </c>
      <c r="D4" t="s">
        <v>63</v>
      </c>
      <c r="E4" t="s">
        <v>63</v>
      </c>
      <c r="F4" t="s">
        <v>943</v>
      </c>
      <c r="G4" t="s">
        <v>34</v>
      </c>
      <c r="H4" t="s">
        <v>63</v>
      </c>
    </row>
    <row r="5" spans="1:8">
      <c r="A5" t="s">
        <v>83</v>
      </c>
      <c r="B5" t="s">
        <v>89</v>
      </c>
      <c r="C5" t="s">
        <v>944</v>
      </c>
      <c r="D5" t="s">
        <v>945</v>
      </c>
      <c r="E5" t="s">
        <v>123</v>
      </c>
      <c r="F5" t="s">
        <v>175</v>
      </c>
      <c r="G5" t="s">
        <v>946</v>
      </c>
      <c r="H5" t="s">
        <v>123</v>
      </c>
    </row>
    <row r="6" spans="1:8">
      <c r="A6" t="s">
        <v>947</v>
      </c>
      <c r="B6" t="s">
        <v>71</v>
      </c>
      <c r="C6" t="s">
        <v>948</v>
      </c>
      <c r="D6" t="s">
        <v>949</v>
      </c>
      <c r="E6" t="s">
        <v>950</v>
      </c>
      <c r="F6" t="s">
        <v>55</v>
      </c>
      <c r="G6" t="s">
        <v>951</v>
      </c>
    </row>
    <row r="7" spans="1:8">
      <c r="A7" t="s">
        <v>952</v>
      </c>
      <c r="B7" t="s">
        <v>953</v>
      </c>
      <c r="C7" t="s">
        <v>954</v>
      </c>
      <c r="D7" t="s">
        <v>123</v>
      </c>
      <c r="E7" t="s">
        <v>955</v>
      </c>
      <c r="F7" t="s">
        <v>956</v>
      </c>
      <c r="G7" t="s">
        <v>957</v>
      </c>
    </row>
    <row r="8" spans="1:8">
      <c r="A8" t="s">
        <v>958</v>
      </c>
      <c r="B8" t="s">
        <v>959</v>
      </c>
      <c r="C8" t="s">
        <v>960</v>
      </c>
      <c r="E8" t="s">
        <v>961</v>
      </c>
      <c r="F8" t="s">
        <v>962</v>
      </c>
      <c r="G8" t="s">
        <v>963</v>
      </c>
    </row>
    <row r="9" spans="1:8">
      <c r="B9" t="s">
        <v>964</v>
      </c>
      <c r="E9" t="s">
        <v>341</v>
      </c>
      <c r="F9" t="s">
        <v>965</v>
      </c>
      <c r="G9" t="s">
        <v>966</v>
      </c>
    </row>
    <row r="10" spans="1:8">
      <c r="F10" t="s">
        <v>884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00"/>
  <sheetViews>
    <sheetView workbookViewId="0"/>
  </sheetViews>
  <sheetFormatPr defaultRowHeight="14"/>
  <cols>
    <col min="1" max="1" width="18" customWidth="1"/>
    <col min="2" max="2" width="24" customWidth="1"/>
    <col min="3" max="4" width="28" customWidth="1"/>
    <col min="5" max="5" width="16" customWidth="1"/>
    <col min="6" max="6" width="18" customWidth="1"/>
    <col min="7" max="7" width="16" customWidth="1"/>
    <col min="8" max="8" width="34" customWidth="1"/>
    <col min="9" max="9" width="48" customWidth="1"/>
    <col min="10" max="12" width="20" customWidth="1"/>
    <col min="13" max="13" width="28" customWidth="1"/>
    <col min="14" max="14" width="20" customWidth="1"/>
  </cols>
  <sheetData>
    <row r="1" spans="1:14" ht="19">
      <c r="A1" s="15" t="s">
        <v>967</v>
      </c>
      <c r="B1" s="15" t="s">
        <v>967</v>
      </c>
      <c r="C1" s="15" t="s">
        <v>967</v>
      </c>
      <c r="D1" s="15" t="s">
        <v>967</v>
      </c>
      <c r="E1" s="15" t="s">
        <v>967</v>
      </c>
      <c r="F1" s="15" t="s">
        <v>967</v>
      </c>
      <c r="G1" s="15" t="s">
        <v>967</v>
      </c>
      <c r="H1" s="15" t="s">
        <v>967</v>
      </c>
      <c r="I1" s="15" t="s">
        <v>967</v>
      </c>
      <c r="J1" s="15" t="s">
        <v>967</v>
      </c>
      <c r="K1" s="15" t="s">
        <v>967</v>
      </c>
      <c r="L1" s="15" t="s">
        <v>967</v>
      </c>
      <c r="M1" s="15" t="s">
        <v>967</v>
      </c>
      <c r="N1" s="15" t="s">
        <v>967</v>
      </c>
    </row>
    <row r="2" spans="1:14">
      <c r="A2" s="11" t="s">
        <v>931</v>
      </c>
      <c r="B2" s="11" t="s">
        <v>968</v>
      </c>
      <c r="C2" s="11" t="s">
        <v>969</v>
      </c>
      <c r="D2" s="11" t="s">
        <v>970</v>
      </c>
      <c r="E2" s="11" t="s">
        <v>4</v>
      </c>
      <c r="F2" s="11" t="s">
        <v>971</v>
      </c>
      <c r="G2" s="11" t="s">
        <v>972</v>
      </c>
      <c r="H2" s="11" t="s">
        <v>973</v>
      </c>
      <c r="I2" s="11" t="s">
        <v>836</v>
      </c>
      <c r="J2" s="11" t="s">
        <v>974</v>
      </c>
      <c r="K2" s="11" t="s">
        <v>975</v>
      </c>
      <c r="L2" s="11" t="s">
        <v>976</v>
      </c>
      <c r="M2" s="11" t="s">
        <v>977</v>
      </c>
      <c r="N2" s="11" t="s">
        <v>978</v>
      </c>
    </row>
    <row r="3" spans="1:14" ht="28">
      <c r="A3" s="3" t="s">
        <v>979</v>
      </c>
      <c r="B3" s="3" t="s">
        <v>980</v>
      </c>
      <c r="C3" s="3" t="s">
        <v>0</v>
      </c>
      <c r="D3" s="3" t="s">
        <v>0</v>
      </c>
      <c r="E3" s="3" t="s">
        <v>981</v>
      </c>
      <c r="F3" s="3" t="s">
        <v>982</v>
      </c>
      <c r="G3" s="3" t="s">
        <v>982</v>
      </c>
      <c r="H3" s="3" t="s">
        <v>983</v>
      </c>
      <c r="I3" s="3" t="s">
        <v>984</v>
      </c>
      <c r="J3" s="3" t="s">
        <v>63</v>
      </c>
      <c r="K3" s="3" t="s">
        <v>63</v>
      </c>
      <c r="L3" s="3" t="s">
        <v>985</v>
      </c>
      <c r="M3" s="3" t="s">
        <v>986</v>
      </c>
      <c r="N3" s="3" t="s">
        <v>987</v>
      </c>
    </row>
    <row r="4" spans="1:14" ht="28">
      <c r="A4" s="3" t="s">
        <v>979</v>
      </c>
      <c r="B4" s="3" t="s">
        <v>980</v>
      </c>
      <c r="C4" s="3" t="s">
        <v>1</v>
      </c>
      <c r="D4" s="3" t="s">
        <v>1</v>
      </c>
      <c r="E4" s="3" t="s">
        <v>981</v>
      </c>
      <c r="F4" s="3" t="s">
        <v>982</v>
      </c>
      <c r="G4" s="3" t="s">
        <v>982</v>
      </c>
      <c r="H4" s="3" t="s">
        <v>983</v>
      </c>
      <c r="I4" s="3" t="s">
        <v>984</v>
      </c>
      <c r="J4" s="3" t="s">
        <v>63</v>
      </c>
      <c r="K4" s="3" t="s">
        <v>63</v>
      </c>
      <c r="L4" s="3" t="s">
        <v>985</v>
      </c>
      <c r="M4" s="3" t="s">
        <v>986</v>
      </c>
      <c r="N4" s="3" t="s">
        <v>987</v>
      </c>
    </row>
    <row r="5" spans="1:14" ht="28">
      <c r="A5" s="3" t="s">
        <v>979</v>
      </c>
      <c r="B5" s="3" t="s">
        <v>980</v>
      </c>
      <c r="C5" s="3" t="s">
        <v>2</v>
      </c>
      <c r="D5" s="3" t="s">
        <v>2</v>
      </c>
      <c r="E5" s="3" t="s">
        <v>981</v>
      </c>
      <c r="F5" s="3" t="s">
        <v>982</v>
      </c>
      <c r="G5" s="3" t="s">
        <v>982</v>
      </c>
      <c r="H5" s="3" t="s">
        <v>983</v>
      </c>
      <c r="I5" s="3" t="s">
        <v>984</v>
      </c>
      <c r="J5" s="3" t="s">
        <v>63</v>
      </c>
      <c r="K5" s="3" t="s">
        <v>63</v>
      </c>
      <c r="L5" s="3" t="s">
        <v>985</v>
      </c>
      <c r="M5" s="3" t="s">
        <v>986</v>
      </c>
      <c r="N5" s="3" t="s">
        <v>987</v>
      </c>
    </row>
    <row r="6" spans="1:14" ht="28">
      <c r="A6" s="3" t="s">
        <v>979</v>
      </c>
      <c r="B6" s="3" t="s">
        <v>980</v>
      </c>
      <c r="C6" s="3" t="s">
        <v>3</v>
      </c>
      <c r="D6" s="3" t="s">
        <v>3</v>
      </c>
      <c r="E6" s="3" t="s">
        <v>981</v>
      </c>
      <c r="F6" s="3" t="s">
        <v>982</v>
      </c>
      <c r="G6" s="3" t="s">
        <v>982</v>
      </c>
      <c r="H6" s="3" t="s">
        <v>983</v>
      </c>
      <c r="I6" s="3" t="s">
        <v>984</v>
      </c>
      <c r="J6" s="3" t="s">
        <v>63</v>
      </c>
      <c r="K6" s="3" t="s">
        <v>63</v>
      </c>
      <c r="L6" s="3" t="s">
        <v>985</v>
      </c>
      <c r="M6" s="3" t="s">
        <v>986</v>
      </c>
      <c r="N6" s="3" t="s">
        <v>987</v>
      </c>
    </row>
    <row r="7" spans="1:14" ht="28">
      <c r="A7" s="3" t="s">
        <v>979</v>
      </c>
      <c r="B7" s="3" t="s">
        <v>980</v>
      </c>
      <c r="C7" s="3" t="s">
        <v>4</v>
      </c>
      <c r="D7" s="3" t="s">
        <v>4</v>
      </c>
      <c r="E7" s="3" t="s">
        <v>981</v>
      </c>
      <c r="F7" s="3" t="s">
        <v>982</v>
      </c>
      <c r="G7" s="3" t="s">
        <v>982</v>
      </c>
      <c r="H7" s="3" t="s">
        <v>983</v>
      </c>
      <c r="I7" s="3" t="s">
        <v>984</v>
      </c>
      <c r="J7" s="3" t="s">
        <v>63</v>
      </c>
      <c r="K7" s="3" t="s">
        <v>63</v>
      </c>
      <c r="L7" s="3" t="s">
        <v>985</v>
      </c>
      <c r="M7" s="3" t="s">
        <v>986</v>
      </c>
      <c r="N7" s="3" t="s">
        <v>987</v>
      </c>
    </row>
    <row r="8" spans="1:14" ht="28">
      <c r="A8" s="3" t="s">
        <v>979</v>
      </c>
      <c r="B8" s="3" t="s">
        <v>980</v>
      </c>
      <c r="C8" s="3" t="s">
        <v>5</v>
      </c>
      <c r="D8" s="3" t="s">
        <v>5</v>
      </c>
      <c r="E8" s="3" t="s">
        <v>981</v>
      </c>
      <c r="F8" s="3" t="s">
        <v>982</v>
      </c>
      <c r="G8" s="3" t="s">
        <v>982</v>
      </c>
      <c r="H8" s="3" t="s">
        <v>983</v>
      </c>
      <c r="I8" s="3" t="s">
        <v>984</v>
      </c>
      <c r="J8" s="3" t="s">
        <v>63</v>
      </c>
      <c r="K8" s="3" t="s">
        <v>63</v>
      </c>
      <c r="L8" s="3" t="s">
        <v>985</v>
      </c>
      <c r="M8" s="3" t="s">
        <v>986</v>
      </c>
      <c r="N8" s="3" t="s">
        <v>987</v>
      </c>
    </row>
    <row r="9" spans="1:14" ht="28">
      <c r="A9" s="3" t="s">
        <v>979</v>
      </c>
      <c r="B9" s="3" t="s">
        <v>980</v>
      </c>
      <c r="C9" s="3" t="s">
        <v>6</v>
      </c>
      <c r="D9" s="3" t="s">
        <v>6</v>
      </c>
      <c r="E9" s="3" t="s">
        <v>981</v>
      </c>
      <c r="F9" s="3" t="s">
        <v>982</v>
      </c>
      <c r="G9" s="3" t="s">
        <v>982</v>
      </c>
      <c r="H9" s="3" t="s">
        <v>983</v>
      </c>
      <c r="I9" s="3" t="s">
        <v>984</v>
      </c>
      <c r="J9" s="3" t="s">
        <v>63</v>
      </c>
      <c r="K9" s="3" t="s">
        <v>63</v>
      </c>
      <c r="L9" s="3" t="s">
        <v>985</v>
      </c>
      <c r="M9" s="3" t="s">
        <v>986</v>
      </c>
      <c r="N9" s="3" t="s">
        <v>987</v>
      </c>
    </row>
    <row r="10" spans="1:14" ht="28">
      <c r="A10" s="3" t="s">
        <v>979</v>
      </c>
      <c r="B10" s="3" t="s">
        <v>980</v>
      </c>
      <c r="C10" s="3" t="s">
        <v>7</v>
      </c>
      <c r="D10" s="3" t="s">
        <v>7</v>
      </c>
      <c r="E10" s="3" t="s">
        <v>981</v>
      </c>
      <c r="F10" s="3" t="s">
        <v>982</v>
      </c>
      <c r="G10" s="3" t="s">
        <v>982</v>
      </c>
      <c r="H10" s="3" t="s">
        <v>983</v>
      </c>
      <c r="I10" s="3" t="s">
        <v>984</v>
      </c>
      <c r="J10" s="3" t="s">
        <v>63</v>
      </c>
      <c r="K10" s="3" t="s">
        <v>63</v>
      </c>
      <c r="L10" s="3" t="s">
        <v>985</v>
      </c>
      <c r="M10" s="3" t="s">
        <v>986</v>
      </c>
      <c r="N10" s="3" t="s">
        <v>987</v>
      </c>
    </row>
    <row r="11" spans="1:14" ht="28">
      <c r="A11" s="3" t="s">
        <v>979</v>
      </c>
      <c r="B11" s="3" t="s">
        <v>980</v>
      </c>
      <c r="C11" s="3" t="s">
        <v>8</v>
      </c>
      <c r="D11" s="3" t="s">
        <v>8</v>
      </c>
      <c r="E11" s="3" t="s">
        <v>981</v>
      </c>
      <c r="F11" s="3" t="s">
        <v>982</v>
      </c>
      <c r="G11" s="3" t="s">
        <v>982</v>
      </c>
      <c r="H11" s="3" t="s">
        <v>983</v>
      </c>
      <c r="I11" s="3" t="s">
        <v>984</v>
      </c>
      <c r="J11" s="3" t="s">
        <v>63</v>
      </c>
      <c r="K11" s="3" t="s">
        <v>63</v>
      </c>
      <c r="L11" s="3" t="s">
        <v>985</v>
      </c>
      <c r="M11" s="3" t="s">
        <v>986</v>
      </c>
      <c r="N11" s="3" t="s">
        <v>987</v>
      </c>
    </row>
    <row r="12" spans="1:14" ht="28">
      <c r="A12" s="3" t="s">
        <v>979</v>
      </c>
      <c r="B12" s="3" t="s">
        <v>980</v>
      </c>
      <c r="C12" s="3" t="s">
        <v>9</v>
      </c>
      <c r="D12" s="3" t="s">
        <v>9</v>
      </c>
      <c r="E12" s="3" t="s">
        <v>981</v>
      </c>
      <c r="F12" s="3" t="s">
        <v>982</v>
      </c>
      <c r="G12" s="3" t="s">
        <v>982</v>
      </c>
      <c r="H12" s="3" t="s">
        <v>983</v>
      </c>
      <c r="I12" s="3" t="s">
        <v>984</v>
      </c>
      <c r="J12" s="3" t="s">
        <v>63</v>
      </c>
      <c r="K12" s="3" t="s">
        <v>63</v>
      </c>
      <c r="L12" s="3" t="s">
        <v>985</v>
      </c>
      <c r="M12" s="3" t="s">
        <v>986</v>
      </c>
      <c r="N12" s="3" t="s">
        <v>987</v>
      </c>
    </row>
    <row r="13" spans="1:14" ht="28">
      <c r="A13" s="3" t="s">
        <v>979</v>
      </c>
      <c r="B13" s="3" t="s">
        <v>980</v>
      </c>
      <c r="C13" s="3" t="s">
        <v>10</v>
      </c>
      <c r="D13" s="3" t="s">
        <v>10</v>
      </c>
      <c r="E13" s="3" t="s">
        <v>981</v>
      </c>
      <c r="F13" s="3" t="s">
        <v>982</v>
      </c>
      <c r="G13" s="3" t="s">
        <v>982</v>
      </c>
      <c r="H13" s="3" t="s">
        <v>983</v>
      </c>
      <c r="I13" s="3" t="s">
        <v>984</v>
      </c>
      <c r="J13" s="3" t="s">
        <v>63</v>
      </c>
      <c r="K13" s="3" t="s">
        <v>63</v>
      </c>
      <c r="L13" s="3" t="s">
        <v>985</v>
      </c>
      <c r="M13" s="3" t="s">
        <v>986</v>
      </c>
      <c r="N13" s="3" t="s">
        <v>987</v>
      </c>
    </row>
    <row r="14" spans="1:14" ht="28">
      <c r="A14" s="3" t="s">
        <v>979</v>
      </c>
      <c r="B14" s="3" t="s">
        <v>980</v>
      </c>
      <c r="C14" s="3" t="s">
        <v>11</v>
      </c>
      <c r="D14" s="3" t="s">
        <v>11</v>
      </c>
      <c r="E14" s="3" t="s">
        <v>981</v>
      </c>
      <c r="F14" s="3" t="s">
        <v>982</v>
      </c>
      <c r="G14" s="3" t="s">
        <v>982</v>
      </c>
      <c r="H14" s="3" t="s">
        <v>983</v>
      </c>
      <c r="I14" s="3" t="s">
        <v>984</v>
      </c>
      <c r="J14" s="3" t="s">
        <v>63</v>
      </c>
      <c r="K14" s="3" t="s">
        <v>63</v>
      </c>
      <c r="L14" s="3" t="s">
        <v>985</v>
      </c>
      <c r="M14" s="3" t="s">
        <v>986</v>
      </c>
      <c r="N14" s="3" t="s">
        <v>987</v>
      </c>
    </row>
    <row r="15" spans="1:14" ht="28">
      <c r="A15" s="3" t="s">
        <v>979</v>
      </c>
      <c r="B15" s="3" t="s">
        <v>980</v>
      </c>
      <c r="C15" s="3" t="s">
        <v>12</v>
      </c>
      <c r="D15" s="3" t="s">
        <v>12</v>
      </c>
      <c r="E15" s="3" t="s">
        <v>981</v>
      </c>
      <c r="F15" s="3" t="s">
        <v>982</v>
      </c>
      <c r="G15" s="3" t="s">
        <v>982</v>
      </c>
      <c r="H15" s="3" t="s">
        <v>983</v>
      </c>
      <c r="I15" s="3" t="s">
        <v>984</v>
      </c>
      <c r="J15" s="3" t="s">
        <v>63</v>
      </c>
      <c r="K15" s="3" t="s">
        <v>63</v>
      </c>
      <c r="L15" s="3" t="s">
        <v>985</v>
      </c>
      <c r="M15" s="3" t="s">
        <v>986</v>
      </c>
      <c r="N15" s="3" t="s">
        <v>987</v>
      </c>
    </row>
    <row r="16" spans="1:14" ht="28">
      <c r="A16" s="3" t="s">
        <v>979</v>
      </c>
      <c r="B16" s="3" t="s">
        <v>980</v>
      </c>
      <c r="C16" s="3" t="s">
        <v>13</v>
      </c>
      <c r="D16" s="3" t="s">
        <v>13</v>
      </c>
      <c r="E16" s="3" t="s">
        <v>981</v>
      </c>
      <c r="F16" s="3" t="s">
        <v>982</v>
      </c>
      <c r="G16" s="3" t="s">
        <v>982</v>
      </c>
      <c r="H16" s="3" t="s">
        <v>983</v>
      </c>
      <c r="I16" s="3" t="s">
        <v>984</v>
      </c>
      <c r="J16" s="3" t="s">
        <v>63</v>
      </c>
      <c r="K16" s="3" t="s">
        <v>63</v>
      </c>
      <c r="L16" s="3" t="s">
        <v>985</v>
      </c>
      <c r="M16" s="3" t="s">
        <v>986</v>
      </c>
      <c r="N16" s="3" t="s">
        <v>987</v>
      </c>
    </row>
    <row r="17" spans="1:14" ht="28">
      <c r="A17" s="3" t="s">
        <v>979</v>
      </c>
      <c r="B17" s="3" t="s">
        <v>980</v>
      </c>
      <c r="C17" s="3" t="s">
        <v>14</v>
      </c>
      <c r="D17" s="3" t="s">
        <v>14</v>
      </c>
      <c r="E17" s="3" t="s">
        <v>981</v>
      </c>
      <c r="F17" s="3" t="s">
        <v>982</v>
      </c>
      <c r="G17" s="3" t="s">
        <v>982</v>
      </c>
      <c r="H17" s="3" t="s">
        <v>983</v>
      </c>
      <c r="I17" s="3" t="s">
        <v>984</v>
      </c>
      <c r="J17" s="3" t="s">
        <v>63</v>
      </c>
      <c r="K17" s="3" t="s">
        <v>63</v>
      </c>
      <c r="L17" s="3" t="s">
        <v>985</v>
      </c>
      <c r="M17" s="3" t="s">
        <v>986</v>
      </c>
      <c r="N17" s="3" t="s">
        <v>987</v>
      </c>
    </row>
    <row r="18" spans="1:14" ht="28">
      <c r="A18" s="3" t="s">
        <v>979</v>
      </c>
      <c r="B18" s="3" t="s">
        <v>980</v>
      </c>
      <c r="C18" s="3" t="s">
        <v>15</v>
      </c>
      <c r="D18" s="3" t="s">
        <v>15</v>
      </c>
      <c r="E18" s="3" t="s">
        <v>981</v>
      </c>
      <c r="F18" s="3" t="s">
        <v>982</v>
      </c>
      <c r="G18" s="3" t="s">
        <v>982</v>
      </c>
      <c r="H18" s="3" t="s">
        <v>983</v>
      </c>
      <c r="I18" s="3" t="s">
        <v>984</v>
      </c>
      <c r="J18" s="3" t="s">
        <v>63</v>
      </c>
      <c r="K18" s="3" t="s">
        <v>63</v>
      </c>
      <c r="L18" s="3" t="s">
        <v>985</v>
      </c>
      <c r="M18" s="3" t="s">
        <v>986</v>
      </c>
      <c r="N18" s="3" t="s">
        <v>987</v>
      </c>
    </row>
    <row r="19" spans="1:14" ht="28">
      <c r="A19" s="3" t="s">
        <v>979</v>
      </c>
      <c r="B19" s="3" t="s">
        <v>980</v>
      </c>
      <c r="C19" s="3" t="s">
        <v>16</v>
      </c>
      <c r="D19" s="3" t="s">
        <v>16</v>
      </c>
      <c r="E19" s="3" t="s">
        <v>981</v>
      </c>
      <c r="F19" s="3" t="s">
        <v>982</v>
      </c>
      <c r="G19" s="3" t="s">
        <v>982</v>
      </c>
      <c r="H19" s="3" t="s">
        <v>983</v>
      </c>
      <c r="I19" s="3" t="s">
        <v>984</v>
      </c>
      <c r="J19" s="3" t="s">
        <v>63</v>
      </c>
      <c r="K19" s="3" t="s">
        <v>63</v>
      </c>
      <c r="L19" s="3" t="s">
        <v>985</v>
      </c>
      <c r="M19" s="3" t="s">
        <v>986</v>
      </c>
      <c r="N19" s="3" t="s">
        <v>987</v>
      </c>
    </row>
    <row r="20" spans="1:14" ht="28">
      <c r="A20" s="3" t="s">
        <v>979</v>
      </c>
      <c r="B20" s="3" t="s">
        <v>980</v>
      </c>
      <c r="C20" s="3" t="s">
        <v>17</v>
      </c>
      <c r="D20" s="3" t="s">
        <v>17</v>
      </c>
      <c r="E20" s="3" t="s">
        <v>981</v>
      </c>
      <c r="F20" s="3" t="s">
        <v>982</v>
      </c>
      <c r="G20" s="3" t="s">
        <v>982</v>
      </c>
      <c r="H20" s="3" t="s">
        <v>983</v>
      </c>
      <c r="I20" s="3" t="s">
        <v>984</v>
      </c>
      <c r="J20" s="3" t="s">
        <v>63</v>
      </c>
      <c r="K20" s="3" t="s">
        <v>63</v>
      </c>
      <c r="L20" s="3" t="s">
        <v>985</v>
      </c>
      <c r="M20" s="3" t="s">
        <v>986</v>
      </c>
      <c r="N20" s="3" t="s">
        <v>987</v>
      </c>
    </row>
    <row r="21" spans="1:14" ht="28">
      <c r="A21" s="3" t="s">
        <v>979</v>
      </c>
      <c r="B21" s="3" t="s">
        <v>980</v>
      </c>
      <c r="C21" s="3" t="s">
        <v>18</v>
      </c>
      <c r="D21" s="3" t="s">
        <v>18</v>
      </c>
      <c r="E21" s="3" t="s">
        <v>981</v>
      </c>
      <c r="F21" s="3" t="s">
        <v>982</v>
      </c>
      <c r="G21" s="3" t="s">
        <v>982</v>
      </c>
      <c r="H21" s="3" t="s">
        <v>983</v>
      </c>
      <c r="I21" s="3" t="s">
        <v>984</v>
      </c>
      <c r="J21" s="3" t="s">
        <v>63</v>
      </c>
      <c r="K21" s="3" t="s">
        <v>63</v>
      </c>
      <c r="L21" s="3" t="s">
        <v>985</v>
      </c>
      <c r="M21" s="3" t="s">
        <v>986</v>
      </c>
      <c r="N21" s="3" t="s">
        <v>987</v>
      </c>
    </row>
    <row r="22" spans="1:14" ht="28">
      <c r="A22" s="3" t="s">
        <v>979</v>
      </c>
      <c r="B22" s="3" t="s">
        <v>980</v>
      </c>
      <c r="C22" s="3" t="s">
        <v>19</v>
      </c>
      <c r="D22" s="3" t="s">
        <v>19</v>
      </c>
      <c r="E22" s="3" t="s">
        <v>981</v>
      </c>
      <c r="F22" s="3" t="s">
        <v>982</v>
      </c>
      <c r="G22" s="3" t="s">
        <v>982</v>
      </c>
      <c r="H22" s="3" t="s">
        <v>983</v>
      </c>
      <c r="I22" s="3" t="s">
        <v>984</v>
      </c>
      <c r="J22" s="3" t="s">
        <v>63</v>
      </c>
      <c r="K22" s="3" t="s">
        <v>63</v>
      </c>
      <c r="L22" s="3" t="s">
        <v>985</v>
      </c>
      <c r="M22" s="3" t="s">
        <v>986</v>
      </c>
      <c r="N22" s="3" t="s">
        <v>987</v>
      </c>
    </row>
    <row r="23" spans="1:14" ht="28">
      <c r="A23" s="3" t="s">
        <v>979</v>
      </c>
      <c r="B23" s="3" t="s">
        <v>980</v>
      </c>
      <c r="C23" s="3" t="s">
        <v>20</v>
      </c>
      <c r="D23" s="3" t="s">
        <v>20</v>
      </c>
      <c r="E23" s="3" t="s">
        <v>981</v>
      </c>
      <c r="F23" s="3" t="s">
        <v>982</v>
      </c>
      <c r="G23" s="3" t="s">
        <v>982</v>
      </c>
      <c r="H23" s="3" t="s">
        <v>983</v>
      </c>
      <c r="I23" s="3" t="s">
        <v>984</v>
      </c>
      <c r="J23" s="3" t="s">
        <v>63</v>
      </c>
      <c r="K23" s="3" t="s">
        <v>63</v>
      </c>
      <c r="L23" s="3" t="s">
        <v>985</v>
      </c>
      <c r="M23" s="3" t="s">
        <v>986</v>
      </c>
      <c r="N23" s="3" t="s">
        <v>987</v>
      </c>
    </row>
    <row r="24" spans="1:14" ht="28">
      <c r="A24" s="3" t="s">
        <v>979</v>
      </c>
      <c r="B24" s="3" t="s">
        <v>980</v>
      </c>
      <c r="C24" s="3" t="s">
        <v>21</v>
      </c>
      <c r="D24" s="3" t="s">
        <v>21</v>
      </c>
      <c r="E24" s="3" t="s">
        <v>981</v>
      </c>
      <c r="F24" s="3" t="s">
        <v>982</v>
      </c>
      <c r="G24" s="3" t="s">
        <v>982</v>
      </c>
      <c r="H24" s="3" t="s">
        <v>983</v>
      </c>
      <c r="I24" s="3" t="s">
        <v>984</v>
      </c>
      <c r="J24" s="3" t="s">
        <v>63</v>
      </c>
      <c r="K24" s="3" t="s">
        <v>63</v>
      </c>
      <c r="L24" s="3" t="s">
        <v>985</v>
      </c>
      <c r="M24" s="3" t="s">
        <v>986</v>
      </c>
      <c r="N24" s="3" t="s">
        <v>987</v>
      </c>
    </row>
    <row r="25" spans="1:14" ht="28">
      <c r="A25" s="3" t="s">
        <v>979</v>
      </c>
      <c r="B25" s="3" t="s">
        <v>980</v>
      </c>
      <c r="C25" s="3" t="s">
        <v>22</v>
      </c>
      <c r="D25" s="3" t="s">
        <v>22</v>
      </c>
      <c r="E25" s="3" t="s">
        <v>981</v>
      </c>
      <c r="F25" s="3" t="s">
        <v>982</v>
      </c>
      <c r="G25" s="3" t="s">
        <v>982</v>
      </c>
      <c r="H25" s="3" t="s">
        <v>983</v>
      </c>
      <c r="I25" s="3" t="s">
        <v>984</v>
      </c>
      <c r="J25" s="3" t="s">
        <v>63</v>
      </c>
      <c r="K25" s="3" t="s">
        <v>63</v>
      </c>
      <c r="L25" s="3" t="s">
        <v>985</v>
      </c>
      <c r="M25" s="3" t="s">
        <v>986</v>
      </c>
      <c r="N25" s="3" t="s">
        <v>987</v>
      </c>
    </row>
    <row r="26" spans="1:14" ht="28">
      <c r="A26" s="3" t="s">
        <v>979</v>
      </c>
      <c r="B26" s="3" t="s">
        <v>980</v>
      </c>
      <c r="C26" s="3" t="s">
        <v>23</v>
      </c>
      <c r="D26" s="3" t="s">
        <v>23</v>
      </c>
      <c r="E26" s="3" t="s">
        <v>981</v>
      </c>
      <c r="F26" s="3" t="s">
        <v>982</v>
      </c>
      <c r="G26" s="3" t="s">
        <v>982</v>
      </c>
      <c r="H26" s="3" t="s">
        <v>983</v>
      </c>
      <c r="I26" s="3" t="s">
        <v>984</v>
      </c>
      <c r="J26" s="3" t="s">
        <v>63</v>
      </c>
      <c r="K26" s="3" t="s">
        <v>63</v>
      </c>
      <c r="L26" s="3" t="s">
        <v>985</v>
      </c>
      <c r="M26" s="3" t="s">
        <v>986</v>
      </c>
      <c r="N26" s="3" t="s">
        <v>987</v>
      </c>
    </row>
    <row r="27" spans="1:14" ht="28">
      <c r="A27" s="3" t="s">
        <v>979</v>
      </c>
      <c r="B27" s="3" t="s">
        <v>980</v>
      </c>
      <c r="C27" s="3" t="s">
        <v>24</v>
      </c>
      <c r="D27" s="3" t="s">
        <v>24</v>
      </c>
      <c r="E27" s="3" t="s">
        <v>981</v>
      </c>
      <c r="F27" s="3" t="s">
        <v>982</v>
      </c>
      <c r="G27" s="3" t="s">
        <v>982</v>
      </c>
      <c r="H27" s="3" t="s">
        <v>983</v>
      </c>
      <c r="I27" s="3" t="s">
        <v>984</v>
      </c>
      <c r="J27" s="3" t="s">
        <v>63</v>
      </c>
      <c r="K27" s="3" t="s">
        <v>63</v>
      </c>
      <c r="L27" s="3" t="s">
        <v>985</v>
      </c>
      <c r="M27" s="3" t="s">
        <v>986</v>
      </c>
      <c r="N27" s="3" t="s">
        <v>987</v>
      </c>
    </row>
    <row r="28" spans="1:14" ht="28">
      <c r="A28" s="3" t="s">
        <v>979</v>
      </c>
      <c r="B28" s="3" t="s">
        <v>980</v>
      </c>
      <c r="C28" s="3" t="s">
        <v>25</v>
      </c>
      <c r="D28" s="3" t="s">
        <v>25</v>
      </c>
      <c r="E28" s="3" t="s">
        <v>981</v>
      </c>
      <c r="F28" s="3" t="s">
        <v>982</v>
      </c>
      <c r="G28" s="3" t="s">
        <v>982</v>
      </c>
      <c r="H28" s="3" t="s">
        <v>983</v>
      </c>
      <c r="I28" s="3" t="s">
        <v>984</v>
      </c>
      <c r="J28" s="3" t="s">
        <v>63</v>
      </c>
      <c r="K28" s="3" t="s">
        <v>63</v>
      </c>
      <c r="L28" s="3" t="s">
        <v>985</v>
      </c>
      <c r="M28" s="3" t="s">
        <v>986</v>
      </c>
      <c r="N28" s="3" t="s">
        <v>987</v>
      </c>
    </row>
    <row r="29" spans="1:14" ht="28">
      <c r="A29" s="3" t="s">
        <v>979</v>
      </c>
      <c r="B29" s="3" t="s">
        <v>980</v>
      </c>
      <c r="C29" s="3" t="s">
        <v>26</v>
      </c>
      <c r="D29" s="3" t="s">
        <v>26</v>
      </c>
      <c r="E29" s="3" t="s">
        <v>981</v>
      </c>
      <c r="F29" s="3" t="s">
        <v>982</v>
      </c>
      <c r="G29" s="3" t="s">
        <v>982</v>
      </c>
      <c r="H29" s="3" t="s">
        <v>983</v>
      </c>
      <c r="I29" s="3" t="s">
        <v>984</v>
      </c>
      <c r="J29" s="3" t="s">
        <v>63</v>
      </c>
      <c r="K29" s="3" t="s">
        <v>63</v>
      </c>
      <c r="L29" s="3" t="s">
        <v>985</v>
      </c>
      <c r="M29" s="3" t="s">
        <v>986</v>
      </c>
      <c r="N29" s="3" t="s">
        <v>987</v>
      </c>
    </row>
    <row r="30" spans="1:14" ht="28">
      <c r="A30" s="3" t="s">
        <v>979</v>
      </c>
      <c r="B30" s="3" t="s">
        <v>980</v>
      </c>
      <c r="C30" s="3" t="s">
        <v>27</v>
      </c>
      <c r="D30" s="3" t="s">
        <v>27</v>
      </c>
      <c r="E30" s="3" t="s">
        <v>981</v>
      </c>
      <c r="F30" s="3" t="s">
        <v>982</v>
      </c>
      <c r="G30" s="3" t="s">
        <v>982</v>
      </c>
      <c r="H30" s="3" t="s">
        <v>983</v>
      </c>
      <c r="I30" s="3" t="s">
        <v>984</v>
      </c>
      <c r="J30" s="3" t="s">
        <v>63</v>
      </c>
      <c r="K30" s="3" t="s">
        <v>63</v>
      </c>
      <c r="L30" s="3" t="s">
        <v>985</v>
      </c>
      <c r="M30" s="3" t="s">
        <v>986</v>
      </c>
      <c r="N30" s="3" t="s">
        <v>987</v>
      </c>
    </row>
    <row r="31" spans="1:14" ht="28">
      <c r="A31" s="3" t="s">
        <v>979</v>
      </c>
      <c r="B31" s="3" t="s">
        <v>980</v>
      </c>
      <c r="C31" s="3" t="s">
        <v>28</v>
      </c>
      <c r="D31" s="3" t="s">
        <v>28</v>
      </c>
      <c r="E31" s="3" t="s">
        <v>981</v>
      </c>
      <c r="F31" s="3" t="s">
        <v>982</v>
      </c>
      <c r="G31" s="3" t="s">
        <v>982</v>
      </c>
      <c r="H31" s="3" t="s">
        <v>983</v>
      </c>
      <c r="I31" s="3" t="s">
        <v>984</v>
      </c>
      <c r="J31" s="3" t="s">
        <v>63</v>
      </c>
      <c r="K31" s="3" t="s">
        <v>63</v>
      </c>
      <c r="L31" s="3" t="s">
        <v>985</v>
      </c>
      <c r="M31" s="3" t="s">
        <v>986</v>
      </c>
      <c r="N31" s="3" t="s">
        <v>987</v>
      </c>
    </row>
    <row r="32" spans="1:14" ht="28">
      <c r="A32" s="3" t="s">
        <v>979</v>
      </c>
      <c r="B32" s="3" t="s">
        <v>980</v>
      </c>
      <c r="C32" s="3" t="s">
        <v>29</v>
      </c>
      <c r="D32" s="3" t="s">
        <v>29</v>
      </c>
      <c r="E32" s="3" t="s">
        <v>981</v>
      </c>
      <c r="F32" s="3" t="s">
        <v>982</v>
      </c>
      <c r="G32" s="3" t="s">
        <v>982</v>
      </c>
      <c r="H32" s="3" t="s">
        <v>983</v>
      </c>
      <c r="I32" s="3" t="s">
        <v>984</v>
      </c>
      <c r="J32" s="3" t="s">
        <v>63</v>
      </c>
      <c r="K32" s="3" t="s">
        <v>63</v>
      </c>
      <c r="L32" s="3" t="s">
        <v>985</v>
      </c>
      <c r="M32" s="3" t="s">
        <v>986</v>
      </c>
      <c r="N32" s="3" t="s">
        <v>987</v>
      </c>
    </row>
    <row r="33" spans="1:14" ht="28">
      <c r="A33" s="3" t="s">
        <v>979</v>
      </c>
      <c r="B33" s="3" t="s">
        <v>980</v>
      </c>
      <c r="C33" s="3" t="s">
        <v>30</v>
      </c>
      <c r="D33" s="3" t="s">
        <v>30</v>
      </c>
      <c r="E33" s="3" t="s">
        <v>981</v>
      </c>
      <c r="F33" s="3" t="s">
        <v>982</v>
      </c>
      <c r="G33" s="3" t="s">
        <v>982</v>
      </c>
      <c r="H33" s="3" t="s">
        <v>983</v>
      </c>
      <c r="I33" s="3" t="s">
        <v>984</v>
      </c>
      <c r="J33" s="3" t="s">
        <v>63</v>
      </c>
      <c r="K33" s="3" t="s">
        <v>63</v>
      </c>
      <c r="L33" s="3" t="s">
        <v>985</v>
      </c>
      <c r="M33" s="3" t="s">
        <v>986</v>
      </c>
      <c r="N33" s="3" t="s">
        <v>987</v>
      </c>
    </row>
    <row r="34" spans="1:14" ht="28">
      <c r="A34" s="3" t="s">
        <v>979</v>
      </c>
      <c r="B34" s="3" t="s">
        <v>980</v>
      </c>
      <c r="C34" s="3" t="s">
        <v>31</v>
      </c>
      <c r="D34" s="3" t="s">
        <v>31</v>
      </c>
      <c r="E34" s="3" t="s">
        <v>981</v>
      </c>
      <c r="F34" s="3" t="s">
        <v>982</v>
      </c>
      <c r="G34" s="3" t="s">
        <v>982</v>
      </c>
      <c r="H34" s="3" t="s">
        <v>983</v>
      </c>
      <c r="I34" s="3" t="s">
        <v>984</v>
      </c>
      <c r="J34" s="3" t="s">
        <v>63</v>
      </c>
      <c r="K34" s="3" t="s">
        <v>63</v>
      </c>
      <c r="L34" s="3" t="s">
        <v>985</v>
      </c>
      <c r="M34" s="3" t="s">
        <v>986</v>
      </c>
      <c r="N34" s="3" t="s">
        <v>987</v>
      </c>
    </row>
    <row r="35" spans="1:14" ht="28">
      <c r="A35" s="3" t="s">
        <v>979</v>
      </c>
      <c r="B35" s="3" t="s">
        <v>980</v>
      </c>
      <c r="C35" s="3" t="s">
        <v>32</v>
      </c>
      <c r="D35" s="3" t="s">
        <v>32</v>
      </c>
      <c r="E35" s="3" t="s">
        <v>981</v>
      </c>
      <c r="F35" s="3" t="s">
        <v>982</v>
      </c>
      <c r="G35" s="3" t="s">
        <v>982</v>
      </c>
      <c r="H35" s="3" t="s">
        <v>983</v>
      </c>
      <c r="I35" s="3" t="s">
        <v>984</v>
      </c>
      <c r="J35" s="3" t="s">
        <v>63</v>
      </c>
      <c r="K35" s="3" t="s">
        <v>63</v>
      </c>
      <c r="L35" s="3" t="s">
        <v>985</v>
      </c>
      <c r="M35" s="3" t="s">
        <v>986</v>
      </c>
      <c r="N35" s="3" t="s">
        <v>987</v>
      </c>
    </row>
    <row r="36" spans="1:14" ht="28">
      <c r="A36" s="3" t="s">
        <v>979</v>
      </c>
      <c r="B36" s="3" t="s">
        <v>980</v>
      </c>
      <c r="C36" s="3" t="s">
        <v>33</v>
      </c>
      <c r="D36" s="3" t="s">
        <v>33</v>
      </c>
      <c r="E36" s="3" t="s">
        <v>981</v>
      </c>
      <c r="F36" s="3" t="s">
        <v>982</v>
      </c>
      <c r="G36" s="3" t="s">
        <v>982</v>
      </c>
      <c r="H36" s="3" t="s">
        <v>983</v>
      </c>
      <c r="I36" s="3" t="s">
        <v>984</v>
      </c>
      <c r="J36" s="3" t="s">
        <v>63</v>
      </c>
      <c r="K36" s="3" t="s">
        <v>63</v>
      </c>
      <c r="L36" s="3" t="s">
        <v>985</v>
      </c>
      <c r="M36" s="3" t="s">
        <v>986</v>
      </c>
      <c r="N36" s="3" t="s">
        <v>987</v>
      </c>
    </row>
    <row r="37" spans="1:14" ht="28">
      <c r="A37" s="3" t="s">
        <v>979</v>
      </c>
      <c r="B37" s="3" t="s">
        <v>980</v>
      </c>
      <c r="C37" s="3" t="s">
        <v>34</v>
      </c>
      <c r="D37" s="3" t="s">
        <v>34</v>
      </c>
      <c r="E37" s="3" t="s">
        <v>981</v>
      </c>
      <c r="F37" s="3" t="s">
        <v>982</v>
      </c>
      <c r="G37" s="3" t="s">
        <v>982</v>
      </c>
      <c r="H37" s="3" t="s">
        <v>983</v>
      </c>
      <c r="I37" s="3" t="s">
        <v>984</v>
      </c>
      <c r="J37" s="3" t="s">
        <v>63</v>
      </c>
      <c r="K37" s="3" t="s">
        <v>63</v>
      </c>
      <c r="L37" s="3" t="s">
        <v>985</v>
      </c>
      <c r="M37" s="3" t="s">
        <v>986</v>
      </c>
      <c r="N37" s="3" t="s">
        <v>987</v>
      </c>
    </row>
    <row r="38" spans="1:14" ht="28">
      <c r="A38" s="3" t="s">
        <v>979</v>
      </c>
      <c r="B38" s="3" t="s">
        <v>980</v>
      </c>
      <c r="C38" s="3" t="s">
        <v>35</v>
      </c>
      <c r="D38" s="3" t="s">
        <v>35</v>
      </c>
      <c r="E38" s="3" t="s">
        <v>981</v>
      </c>
      <c r="F38" s="3" t="s">
        <v>982</v>
      </c>
      <c r="G38" s="3" t="s">
        <v>982</v>
      </c>
      <c r="H38" s="3" t="s">
        <v>983</v>
      </c>
      <c r="I38" s="3" t="s">
        <v>984</v>
      </c>
      <c r="J38" s="3" t="s">
        <v>63</v>
      </c>
      <c r="K38" s="3" t="s">
        <v>63</v>
      </c>
      <c r="L38" s="3" t="s">
        <v>985</v>
      </c>
      <c r="M38" s="3" t="s">
        <v>986</v>
      </c>
      <c r="N38" s="3" t="s">
        <v>987</v>
      </c>
    </row>
    <row r="39" spans="1:14" ht="28">
      <c r="A39" s="3" t="s">
        <v>979</v>
      </c>
      <c r="B39" s="3" t="s">
        <v>980</v>
      </c>
      <c r="C39" s="3" t="s">
        <v>36</v>
      </c>
      <c r="D39" s="3" t="s">
        <v>36</v>
      </c>
      <c r="E39" s="3" t="s">
        <v>981</v>
      </c>
      <c r="F39" s="3" t="s">
        <v>982</v>
      </c>
      <c r="G39" s="3" t="s">
        <v>982</v>
      </c>
      <c r="H39" s="3" t="s">
        <v>983</v>
      </c>
      <c r="I39" s="3" t="s">
        <v>984</v>
      </c>
      <c r="J39" s="3" t="s">
        <v>63</v>
      </c>
      <c r="K39" s="3" t="s">
        <v>63</v>
      </c>
      <c r="L39" s="3" t="s">
        <v>985</v>
      </c>
      <c r="M39" s="3" t="s">
        <v>986</v>
      </c>
      <c r="N39" s="3" t="s">
        <v>987</v>
      </c>
    </row>
    <row r="40" spans="1:14" ht="28">
      <c r="A40" s="3" t="s">
        <v>979</v>
      </c>
      <c r="B40" s="3" t="s">
        <v>980</v>
      </c>
      <c r="C40" s="3" t="s">
        <v>37</v>
      </c>
      <c r="D40" s="3" t="s">
        <v>37</v>
      </c>
      <c r="E40" s="3" t="s">
        <v>981</v>
      </c>
      <c r="F40" s="3" t="s">
        <v>982</v>
      </c>
      <c r="G40" s="3" t="s">
        <v>982</v>
      </c>
      <c r="H40" s="3" t="s">
        <v>983</v>
      </c>
      <c r="I40" s="3" t="s">
        <v>984</v>
      </c>
      <c r="J40" s="3" t="s">
        <v>63</v>
      </c>
      <c r="K40" s="3" t="s">
        <v>63</v>
      </c>
      <c r="L40" s="3" t="s">
        <v>985</v>
      </c>
      <c r="M40" s="3" t="s">
        <v>986</v>
      </c>
      <c r="N40" s="3" t="s">
        <v>987</v>
      </c>
    </row>
    <row r="41" spans="1:14" ht="28">
      <c r="A41" s="3" t="s">
        <v>979</v>
      </c>
      <c r="B41" s="3" t="s">
        <v>980</v>
      </c>
      <c r="C41" s="3" t="s">
        <v>38</v>
      </c>
      <c r="D41" s="3" t="s">
        <v>38</v>
      </c>
      <c r="E41" s="3" t="s">
        <v>981</v>
      </c>
      <c r="F41" s="3" t="s">
        <v>982</v>
      </c>
      <c r="G41" s="3" t="s">
        <v>982</v>
      </c>
      <c r="H41" s="3" t="s">
        <v>983</v>
      </c>
      <c r="I41" s="3" t="s">
        <v>984</v>
      </c>
      <c r="J41" s="3" t="s">
        <v>63</v>
      </c>
      <c r="K41" s="3" t="s">
        <v>63</v>
      </c>
      <c r="L41" s="3" t="s">
        <v>985</v>
      </c>
      <c r="M41" s="3" t="s">
        <v>986</v>
      </c>
      <c r="N41" s="3" t="s">
        <v>987</v>
      </c>
    </row>
    <row r="42" spans="1:14" ht="28">
      <c r="A42" s="3" t="s">
        <v>979</v>
      </c>
      <c r="B42" s="3" t="s">
        <v>980</v>
      </c>
      <c r="C42" s="3" t="s">
        <v>39</v>
      </c>
      <c r="D42" s="3" t="s">
        <v>39</v>
      </c>
      <c r="E42" s="3" t="s">
        <v>981</v>
      </c>
      <c r="F42" s="3" t="s">
        <v>982</v>
      </c>
      <c r="G42" s="3" t="s">
        <v>982</v>
      </c>
      <c r="H42" s="3" t="s">
        <v>983</v>
      </c>
      <c r="I42" s="3" t="s">
        <v>984</v>
      </c>
      <c r="J42" s="3" t="s">
        <v>63</v>
      </c>
      <c r="K42" s="3" t="s">
        <v>63</v>
      </c>
      <c r="L42" s="3" t="s">
        <v>985</v>
      </c>
      <c r="M42" s="3" t="s">
        <v>986</v>
      </c>
      <c r="N42" s="3" t="s">
        <v>987</v>
      </c>
    </row>
    <row r="43" spans="1:14" ht="28">
      <c r="A43" s="3" t="s">
        <v>979</v>
      </c>
      <c r="B43" s="3" t="s">
        <v>980</v>
      </c>
      <c r="C43" s="3" t="s">
        <v>40</v>
      </c>
      <c r="D43" s="3" t="s">
        <v>40</v>
      </c>
      <c r="E43" s="3" t="s">
        <v>981</v>
      </c>
      <c r="F43" s="3" t="s">
        <v>982</v>
      </c>
      <c r="G43" s="3" t="s">
        <v>982</v>
      </c>
      <c r="H43" s="3" t="s">
        <v>983</v>
      </c>
      <c r="I43" s="3" t="s">
        <v>984</v>
      </c>
      <c r="J43" s="3" t="s">
        <v>63</v>
      </c>
      <c r="K43" s="3" t="s">
        <v>63</v>
      </c>
      <c r="L43" s="3" t="s">
        <v>985</v>
      </c>
      <c r="M43" s="3" t="s">
        <v>986</v>
      </c>
      <c r="N43" s="3" t="s">
        <v>987</v>
      </c>
    </row>
    <row r="44" spans="1:14" ht="28">
      <c r="A44" s="3" t="s">
        <v>979</v>
      </c>
      <c r="B44" s="3" t="s">
        <v>980</v>
      </c>
      <c r="C44" s="3" t="s">
        <v>41</v>
      </c>
      <c r="D44" s="3" t="s">
        <v>41</v>
      </c>
      <c r="E44" s="3" t="s">
        <v>981</v>
      </c>
      <c r="F44" s="3" t="s">
        <v>982</v>
      </c>
      <c r="G44" s="3" t="s">
        <v>982</v>
      </c>
      <c r="H44" s="3" t="s">
        <v>983</v>
      </c>
      <c r="I44" s="3" t="s">
        <v>984</v>
      </c>
      <c r="J44" s="3" t="s">
        <v>63</v>
      </c>
      <c r="K44" s="3" t="s">
        <v>63</v>
      </c>
      <c r="L44" s="3" t="s">
        <v>985</v>
      </c>
      <c r="M44" s="3" t="s">
        <v>986</v>
      </c>
      <c r="N44" s="3" t="s">
        <v>987</v>
      </c>
    </row>
    <row r="45" spans="1:14" ht="28">
      <c r="A45" s="3" t="s">
        <v>979</v>
      </c>
      <c r="B45" s="3" t="s">
        <v>980</v>
      </c>
      <c r="C45" s="3" t="s">
        <v>42</v>
      </c>
      <c r="D45" s="3" t="s">
        <v>42</v>
      </c>
      <c r="E45" s="3" t="s">
        <v>981</v>
      </c>
      <c r="F45" s="3" t="s">
        <v>982</v>
      </c>
      <c r="G45" s="3" t="s">
        <v>982</v>
      </c>
      <c r="H45" s="3" t="s">
        <v>983</v>
      </c>
      <c r="I45" s="3" t="s">
        <v>984</v>
      </c>
      <c r="J45" s="3" t="s">
        <v>63</v>
      </c>
      <c r="K45" s="3" t="s">
        <v>63</v>
      </c>
      <c r="L45" s="3" t="s">
        <v>985</v>
      </c>
      <c r="M45" s="3" t="s">
        <v>986</v>
      </c>
      <c r="N45" s="3" t="s">
        <v>987</v>
      </c>
    </row>
    <row r="46" spans="1:14" ht="28">
      <c r="A46" s="3" t="s">
        <v>979</v>
      </c>
      <c r="B46" s="3" t="s">
        <v>980</v>
      </c>
      <c r="C46" s="3" t="s">
        <v>43</v>
      </c>
      <c r="D46" s="3" t="s">
        <v>43</v>
      </c>
      <c r="E46" s="3" t="s">
        <v>981</v>
      </c>
      <c r="F46" s="3" t="s">
        <v>982</v>
      </c>
      <c r="G46" s="3" t="s">
        <v>982</v>
      </c>
      <c r="H46" s="3" t="s">
        <v>983</v>
      </c>
      <c r="I46" s="3" t="s">
        <v>984</v>
      </c>
      <c r="J46" s="3" t="s">
        <v>63</v>
      </c>
      <c r="K46" s="3" t="s">
        <v>63</v>
      </c>
      <c r="L46" s="3" t="s">
        <v>985</v>
      </c>
      <c r="M46" s="3" t="s">
        <v>986</v>
      </c>
      <c r="N46" s="3" t="s">
        <v>987</v>
      </c>
    </row>
    <row r="47" spans="1:14" ht="28">
      <c r="A47" s="3" t="s">
        <v>979</v>
      </c>
      <c r="B47" s="3" t="s">
        <v>980</v>
      </c>
      <c r="C47" s="3" t="s">
        <v>44</v>
      </c>
      <c r="D47" s="3" t="s">
        <v>44</v>
      </c>
      <c r="E47" s="3" t="s">
        <v>981</v>
      </c>
      <c r="F47" s="3" t="s">
        <v>982</v>
      </c>
      <c r="G47" s="3" t="s">
        <v>982</v>
      </c>
      <c r="H47" s="3" t="s">
        <v>983</v>
      </c>
      <c r="I47" s="3" t="s">
        <v>984</v>
      </c>
      <c r="J47" s="3" t="s">
        <v>63</v>
      </c>
      <c r="K47" s="3" t="s">
        <v>63</v>
      </c>
      <c r="L47" s="3" t="s">
        <v>985</v>
      </c>
      <c r="M47" s="3" t="s">
        <v>986</v>
      </c>
      <c r="N47" s="3" t="s">
        <v>987</v>
      </c>
    </row>
    <row r="48" spans="1:14" ht="28">
      <c r="A48" s="3" t="s">
        <v>979</v>
      </c>
      <c r="B48" s="3" t="s">
        <v>980</v>
      </c>
      <c r="C48" s="3" t="s">
        <v>45</v>
      </c>
      <c r="D48" s="3" t="s">
        <v>45</v>
      </c>
      <c r="E48" s="3" t="s">
        <v>981</v>
      </c>
      <c r="F48" s="3" t="s">
        <v>982</v>
      </c>
      <c r="G48" s="3" t="s">
        <v>982</v>
      </c>
      <c r="H48" s="3" t="s">
        <v>983</v>
      </c>
      <c r="I48" s="3" t="s">
        <v>984</v>
      </c>
      <c r="J48" s="3" t="s">
        <v>63</v>
      </c>
      <c r="K48" s="3" t="s">
        <v>63</v>
      </c>
      <c r="L48" s="3" t="s">
        <v>985</v>
      </c>
      <c r="M48" s="3" t="s">
        <v>986</v>
      </c>
      <c r="N48" s="3" t="s">
        <v>987</v>
      </c>
    </row>
    <row r="49" spans="1:14" ht="28">
      <c r="A49" s="3" t="s">
        <v>979</v>
      </c>
      <c r="B49" s="3" t="s">
        <v>980</v>
      </c>
      <c r="C49" s="3" t="s">
        <v>46</v>
      </c>
      <c r="D49" s="3" t="s">
        <v>46</v>
      </c>
      <c r="E49" s="3" t="s">
        <v>981</v>
      </c>
      <c r="F49" s="3" t="s">
        <v>982</v>
      </c>
      <c r="G49" s="3" t="s">
        <v>982</v>
      </c>
      <c r="H49" s="3" t="s">
        <v>983</v>
      </c>
      <c r="I49" s="3" t="s">
        <v>984</v>
      </c>
      <c r="J49" s="3" t="s">
        <v>63</v>
      </c>
      <c r="K49" s="3" t="s">
        <v>63</v>
      </c>
      <c r="L49" s="3" t="s">
        <v>985</v>
      </c>
      <c r="M49" s="3" t="s">
        <v>986</v>
      </c>
      <c r="N49" s="3" t="s">
        <v>987</v>
      </c>
    </row>
    <row r="50" spans="1:14" ht="28">
      <c r="A50" s="3" t="s">
        <v>979</v>
      </c>
      <c r="B50" s="3" t="s">
        <v>980</v>
      </c>
      <c r="C50" s="3" t="s">
        <v>47</v>
      </c>
      <c r="D50" s="3" t="s">
        <v>47</v>
      </c>
      <c r="E50" s="3" t="s">
        <v>981</v>
      </c>
      <c r="F50" s="3" t="s">
        <v>982</v>
      </c>
      <c r="G50" s="3" t="s">
        <v>982</v>
      </c>
      <c r="H50" s="3" t="s">
        <v>983</v>
      </c>
      <c r="I50" s="3" t="s">
        <v>984</v>
      </c>
      <c r="J50" s="3" t="s">
        <v>63</v>
      </c>
      <c r="K50" s="3" t="s">
        <v>63</v>
      </c>
      <c r="L50" s="3" t="s">
        <v>985</v>
      </c>
      <c r="M50" s="3" t="s">
        <v>986</v>
      </c>
      <c r="N50" s="3" t="s">
        <v>987</v>
      </c>
    </row>
    <row r="51" spans="1:14" ht="28">
      <c r="A51" s="3" t="s">
        <v>979</v>
      </c>
      <c r="B51" s="3" t="s">
        <v>980</v>
      </c>
      <c r="C51" s="3" t="s">
        <v>48</v>
      </c>
      <c r="D51" s="3" t="s">
        <v>48</v>
      </c>
      <c r="E51" s="3" t="s">
        <v>981</v>
      </c>
      <c r="F51" s="3" t="s">
        <v>982</v>
      </c>
      <c r="G51" s="3" t="s">
        <v>982</v>
      </c>
      <c r="H51" s="3" t="s">
        <v>983</v>
      </c>
      <c r="I51" s="3" t="s">
        <v>984</v>
      </c>
      <c r="J51" s="3" t="s">
        <v>63</v>
      </c>
      <c r="K51" s="3" t="s">
        <v>63</v>
      </c>
      <c r="L51" s="3" t="s">
        <v>985</v>
      </c>
      <c r="M51" s="3" t="s">
        <v>986</v>
      </c>
      <c r="N51" s="3" t="s">
        <v>987</v>
      </c>
    </row>
    <row r="52" spans="1:14" ht="28">
      <c r="A52" s="3" t="s">
        <v>979</v>
      </c>
      <c r="B52" s="3" t="s">
        <v>980</v>
      </c>
      <c r="C52" s="3" t="s">
        <v>49</v>
      </c>
      <c r="D52" s="3" t="s">
        <v>49</v>
      </c>
      <c r="E52" s="3" t="s">
        <v>981</v>
      </c>
      <c r="F52" s="3" t="s">
        <v>982</v>
      </c>
      <c r="G52" s="3" t="s">
        <v>982</v>
      </c>
      <c r="H52" s="3" t="s">
        <v>983</v>
      </c>
      <c r="I52" s="3" t="s">
        <v>984</v>
      </c>
      <c r="J52" s="3" t="s">
        <v>63</v>
      </c>
      <c r="K52" s="3" t="s">
        <v>63</v>
      </c>
      <c r="L52" s="3" t="s">
        <v>985</v>
      </c>
      <c r="M52" s="3" t="s">
        <v>986</v>
      </c>
      <c r="N52" s="3" t="s">
        <v>987</v>
      </c>
    </row>
    <row r="53" spans="1:14" ht="28">
      <c r="A53" s="3" t="s">
        <v>979</v>
      </c>
      <c r="B53" s="3" t="s">
        <v>980</v>
      </c>
      <c r="C53" s="3" t="s">
        <v>50</v>
      </c>
      <c r="D53" s="3" t="s">
        <v>50</v>
      </c>
      <c r="E53" s="3" t="s">
        <v>981</v>
      </c>
      <c r="F53" s="3" t="s">
        <v>982</v>
      </c>
      <c r="G53" s="3" t="s">
        <v>982</v>
      </c>
      <c r="H53" s="3" t="s">
        <v>983</v>
      </c>
      <c r="I53" s="3" t="s">
        <v>984</v>
      </c>
      <c r="J53" s="3" t="s">
        <v>63</v>
      </c>
      <c r="K53" s="3" t="s">
        <v>63</v>
      </c>
      <c r="L53" s="3" t="s">
        <v>985</v>
      </c>
      <c r="M53" s="3" t="s">
        <v>986</v>
      </c>
      <c r="N53" s="3" t="s">
        <v>987</v>
      </c>
    </row>
    <row r="54" spans="1:14">
      <c r="A54" s="3" t="s">
        <v>988</v>
      </c>
      <c r="B54" s="3" t="s">
        <v>862</v>
      </c>
      <c r="C54" s="3" t="s">
        <v>863</v>
      </c>
      <c r="D54" s="3" t="s">
        <v>989</v>
      </c>
      <c r="E54" s="3" t="s">
        <v>990</v>
      </c>
      <c r="F54" s="3"/>
      <c r="G54" s="3" t="s">
        <v>63</v>
      </c>
      <c r="H54" s="3"/>
      <c r="I54" s="3" t="s">
        <v>991</v>
      </c>
      <c r="J54" s="3" t="s">
        <v>123</v>
      </c>
      <c r="K54" s="3" t="s">
        <v>63</v>
      </c>
      <c r="L54" s="3" t="s">
        <v>992</v>
      </c>
      <c r="M54" s="3" t="s">
        <v>993</v>
      </c>
      <c r="N54" s="3" t="s">
        <v>848</v>
      </c>
    </row>
    <row r="55" spans="1:14">
      <c r="A55" s="3" t="s">
        <v>988</v>
      </c>
      <c r="B55" s="3" t="s">
        <v>862</v>
      </c>
      <c r="C55" s="3" t="s">
        <v>864</v>
      </c>
      <c r="D55" s="3" t="s">
        <v>994</v>
      </c>
      <c r="E55" s="3" t="s">
        <v>990</v>
      </c>
      <c r="F55" s="3"/>
      <c r="G55" s="3" t="s">
        <v>63</v>
      </c>
      <c r="H55" s="3" t="s">
        <v>995</v>
      </c>
      <c r="I55" s="3" t="s">
        <v>996</v>
      </c>
      <c r="J55" s="3" t="s">
        <v>123</v>
      </c>
      <c r="K55" s="3" t="s">
        <v>63</v>
      </c>
      <c r="L55" s="3" t="s">
        <v>992</v>
      </c>
      <c r="M55" s="3" t="s">
        <v>997</v>
      </c>
      <c r="N55" s="3" t="s">
        <v>848</v>
      </c>
    </row>
    <row r="56" spans="1:14">
      <c r="A56" s="3" t="s">
        <v>998</v>
      </c>
      <c r="B56" s="3" t="s">
        <v>876</v>
      </c>
      <c r="C56" s="3" t="s">
        <v>877</v>
      </c>
      <c r="D56" s="3" t="s">
        <v>999</v>
      </c>
      <c r="E56" s="3" t="s">
        <v>990</v>
      </c>
      <c r="F56" s="3"/>
      <c r="G56" s="3" t="s">
        <v>63</v>
      </c>
      <c r="H56" s="3"/>
      <c r="I56" s="3" t="s">
        <v>1000</v>
      </c>
      <c r="J56" s="3" t="s">
        <v>123</v>
      </c>
      <c r="K56" s="3" t="s">
        <v>63</v>
      </c>
      <c r="L56" s="3" t="s">
        <v>992</v>
      </c>
      <c r="M56" s="3" t="s">
        <v>993</v>
      </c>
      <c r="N56" s="3" t="s">
        <v>848</v>
      </c>
    </row>
    <row r="57" spans="1:14">
      <c r="A57" s="3" t="s">
        <v>799</v>
      </c>
      <c r="B57" s="3" t="s">
        <v>799</v>
      </c>
      <c r="C57" s="3" t="s">
        <v>891</v>
      </c>
      <c r="D57" s="3" t="s">
        <v>1001</v>
      </c>
      <c r="E57" s="3" t="s">
        <v>990</v>
      </c>
      <c r="F57" s="3"/>
      <c r="G57" s="3" t="s">
        <v>63</v>
      </c>
      <c r="H57" s="3"/>
      <c r="I57" s="3" t="s">
        <v>1002</v>
      </c>
      <c r="J57" s="3" t="s">
        <v>123</v>
      </c>
      <c r="K57" s="3" t="s">
        <v>63</v>
      </c>
      <c r="L57" s="3" t="s">
        <v>992</v>
      </c>
      <c r="M57" s="3" t="s">
        <v>993</v>
      </c>
      <c r="N57" s="3" t="s">
        <v>848</v>
      </c>
    </row>
    <row r="58" spans="1:14" ht="28">
      <c r="A58" s="3" t="s">
        <v>1003</v>
      </c>
      <c r="B58" s="3" t="s">
        <v>904</v>
      </c>
      <c r="C58" s="3" t="s">
        <v>909</v>
      </c>
      <c r="D58" s="3" t="s">
        <v>1004</v>
      </c>
      <c r="E58" s="3" t="s">
        <v>1005</v>
      </c>
      <c r="F58" s="3" t="s">
        <v>1006</v>
      </c>
      <c r="G58" s="3" t="s">
        <v>123</v>
      </c>
      <c r="H58" s="3" t="s">
        <v>1007</v>
      </c>
      <c r="I58" s="3" t="s">
        <v>1008</v>
      </c>
      <c r="J58" s="3" t="s">
        <v>123</v>
      </c>
      <c r="K58" s="3" t="s">
        <v>63</v>
      </c>
      <c r="L58" s="3" t="s">
        <v>1009</v>
      </c>
      <c r="M58" s="3" t="s">
        <v>1010</v>
      </c>
      <c r="N58" s="3" t="s">
        <v>848</v>
      </c>
    </row>
    <row r="59" spans="1:14" ht="28">
      <c r="A59" s="3" t="s">
        <v>1011</v>
      </c>
      <c r="B59" s="3" t="s">
        <v>918</v>
      </c>
      <c r="C59" s="3" t="s">
        <v>927</v>
      </c>
      <c r="D59" s="3" t="s">
        <v>1012</v>
      </c>
      <c r="E59" s="3" t="s">
        <v>1013</v>
      </c>
      <c r="F59" s="3"/>
      <c r="G59" s="3" t="s">
        <v>63</v>
      </c>
      <c r="H59" s="3" t="s">
        <v>1014</v>
      </c>
      <c r="I59" s="3" t="s">
        <v>1015</v>
      </c>
      <c r="J59" s="3" t="s">
        <v>123</v>
      </c>
      <c r="K59" s="3" t="s">
        <v>63</v>
      </c>
      <c r="L59" s="3" t="s">
        <v>1016</v>
      </c>
      <c r="M59" s="3" t="s">
        <v>993</v>
      </c>
      <c r="N59" s="3" t="s">
        <v>848</v>
      </c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/>
  </sheetViews>
  <sheetFormatPr defaultRowHeight="14"/>
  <cols>
    <col min="1" max="1" width="30" customWidth="1"/>
    <col min="2" max="3" width="26" customWidth="1"/>
    <col min="4" max="5" width="17" customWidth="1"/>
    <col min="6" max="6" width="58" customWidth="1"/>
  </cols>
  <sheetData>
    <row r="1" spans="1:6" ht="19">
      <c r="A1" s="16" t="s">
        <v>1017</v>
      </c>
      <c r="B1" s="16" t="s">
        <v>1017</v>
      </c>
      <c r="C1" s="16" t="s">
        <v>1017</v>
      </c>
      <c r="D1" s="16" t="s">
        <v>1017</v>
      </c>
      <c r="E1" s="16" t="s">
        <v>1017</v>
      </c>
      <c r="F1" s="16" t="s">
        <v>1017</v>
      </c>
    </row>
    <row r="3" spans="1:6">
      <c r="A3" s="14" t="s">
        <v>1018</v>
      </c>
      <c r="B3" s="14" t="s">
        <v>1019</v>
      </c>
      <c r="C3" s="14" t="s">
        <v>1020</v>
      </c>
      <c r="D3" s="14" t="s">
        <v>1021</v>
      </c>
      <c r="E3" s="14" t="s">
        <v>1022</v>
      </c>
      <c r="F3" s="14" t="s">
        <v>814</v>
      </c>
    </row>
    <row r="4" spans="1:6">
      <c r="A4" s="3" t="s">
        <v>1023</v>
      </c>
      <c r="B4" s="3" t="s">
        <v>980</v>
      </c>
      <c r="C4" s="3" t="s">
        <v>980</v>
      </c>
      <c r="D4" s="3" t="s">
        <v>1024</v>
      </c>
      <c r="E4" s="3" t="s">
        <v>1025</v>
      </c>
      <c r="F4" s="3" t="s">
        <v>1026</v>
      </c>
    </row>
    <row r="5" spans="1:6" ht="28">
      <c r="A5" s="3" t="s">
        <v>1027</v>
      </c>
      <c r="B5" s="3" t="s">
        <v>1028</v>
      </c>
      <c r="C5" s="3" t="s">
        <v>1029</v>
      </c>
      <c r="D5" s="3" t="s">
        <v>1024</v>
      </c>
      <c r="E5" s="3" t="s">
        <v>1025</v>
      </c>
      <c r="F5" s="3" t="s">
        <v>1030</v>
      </c>
    </row>
    <row r="6" spans="1:6">
      <c r="A6" s="3" t="s">
        <v>1031</v>
      </c>
      <c r="B6" s="3" t="s">
        <v>1032</v>
      </c>
      <c r="C6" s="3" t="s">
        <v>1032</v>
      </c>
      <c r="D6" s="3" t="s">
        <v>1024</v>
      </c>
      <c r="E6" s="3" t="s">
        <v>1033</v>
      </c>
      <c r="F6" s="3" t="s">
        <v>1034</v>
      </c>
    </row>
    <row r="7" spans="1:6">
      <c r="A7" s="3" t="s">
        <v>1035</v>
      </c>
      <c r="B7" s="3" t="s">
        <v>1036</v>
      </c>
      <c r="C7" s="3" t="s">
        <v>1036</v>
      </c>
      <c r="D7" s="3" t="s">
        <v>1024</v>
      </c>
      <c r="E7" s="3" t="s">
        <v>1025</v>
      </c>
      <c r="F7" s="3" t="s">
        <v>1037</v>
      </c>
    </row>
    <row r="8" spans="1:6">
      <c r="A8" s="3" t="s">
        <v>1038</v>
      </c>
      <c r="B8" s="3" t="s">
        <v>1039</v>
      </c>
      <c r="C8" s="3" t="s">
        <v>1039</v>
      </c>
      <c r="D8" s="3" t="s">
        <v>1024</v>
      </c>
      <c r="E8" s="3" t="s">
        <v>1025</v>
      </c>
      <c r="F8" s="3" t="s">
        <v>1040</v>
      </c>
    </row>
    <row r="9" spans="1:6" ht="28">
      <c r="A9" s="3" t="s">
        <v>1041</v>
      </c>
      <c r="B9" s="3" t="s">
        <v>810</v>
      </c>
      <c r="C9" s="3" t="s">
        <v>1042</v>
      </c>
      <c r="D9" s="3" t="s">
        <v>1043</v>
      </c>
      <c r="E9" s="3" t="s">
        <v>1025</v>
      </c>
      <c r="F9" s="3" t="s">
        <v>1044</v>
      </c>
    </row>
    <row r="10" spans="1:6" ht="28">
      <c r="A10" s="3" t="s">
        <v>1045</v>
      </c>
      <c r="B10" s="3" t="s">
        <v>1046</v>
      </c>
      <c r="C10" s="3" t="s">
        <v>1047</v>
      </c>
      <c r="D10" s="3" t="s">
        <v>1024</v>
      </c>
      <c r="E10" s="3" t="s">
        <v>95</v>
      </c>
      <c r="F10" s="3" t="s">
        <v>1048</v>
      </c>
    </row>
  </sheetData>
  <mergeCells count="1">
    <mergeCell ref="A1:F1"/>
  </mergeCells>
  <conditionalFormatting sqref="D4:D10">
    <cfRule type="expression" dxfId="1" priority="1">
      <formula>D4="CONFORME"</formula>
    </cfRule>
    <cfRule type="expression" dxfId="0" priority="2">
      <formula>OR(D4="À CORRIGER",D4="ACTION REQUISE",D4="À VÉRIFIER")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5"/>
  <sheetViews>
    <sheetView workbookViewId="0"/>
  </sheetViews>
  <sheetFormatPr defaultRowHeight="14"/>
  <cols>
    <col min="1" max="1" width="10" customWidth="1"/>
    <col min="2" max="2" width="52" customWidth="1"/>
    <col min="3" max="3" width="58" customWidth="1"/>
  </cols>
  <sheetData>
    <row r="1" spans="1:6" ht="19">
      <c r="A1" s="16" t="s">
        <v>1049</v>
      </c>
      <c r="B1" s="16" t="s">
        <v>1049</v>
      </c>
      <c r="C1" s="16" t="s">
        <v>1049</v>
      </c>
      <c r="D1" s="16" t="s">
        <v>1049</v>
      </c>
      <c r="E1" s="16" t="s">
        <v>1049</v>
      </c>
      <c r="F1" s="16" t="s">
        <v>1049</v>
      </c>
    </row>
    <row r="3" spans="1:6">
      <c r="A3" s="14" t="s">
        <v>1050</v>
      </c>
      <c r="B3" s="14" t="s">
        <v>813</v>
      </c>
      <c r="C3" s="14" t="s">
        <v>1051</v>
      </c>
    </row>
    <row r="4" spans="1:6" ht="28">
      <c r="A4" s="3">
        <v>1</v>
      </c>
      <c r="B4" s="3" t="s">
        <v>1052</v>
      </c>
      <c r="C4" s="3" t="s">
        <v>1053</v>
      </c>
    </row>
    <row r="5" spans="1:6">
      <c r="A5" s="3">
        <v>2</v>
      </c>
      <c r="B5" s="3" t="s">
        <v>1054</v>
      </c>
      <c r="C5" s="3" t="s">
        <v>1055</v>
      </c>
    </row>
    <row r="6" spans="1:6">
      <c r="A6" s="3">
        <v>3</v>
      </c>
      <c r="B6" s="3" t="s">
        <v>1056</v>
      </c>
      <c r="C6" s="3" t="s">
        <v>1057</v>
      </c>
    </row>
    <row r="7" spans="1:6">
      <c r="A7" s="3">
        <v>4</v>
      </c>
      <c r="B7" s="3" t="s">
        <v>1058</v>
      </c>
      <c r="C7" s="3" t="s">
        <v>1059</v>
      </c>
    </row>
    <row r="8" spans="1:6" ht="28">
      <c r="A8" s="3">
        <v>5</v>
      </c>
      <c r="B8" s="3" t="s">
        <v>1060</v>
      </c>
      <c r="C8" s="3" t="s">
        <v>1061</v>
      </c>
    </row>
    <row r="9" spans="1:6">
      <c r="A9" s="3">
        <v>6</v>
      </c>
      <c r="B9" s="3" t="s">
        <v>1062</v>
      </c>
      <c r="C9" s="3" t="s">
        <v>1063</v>
      </c>
    </row>
    <row r="10" spans="1:6" ht="28">
      <c r="A10" s="3">
        <v>7</v>
      </c>
      <c r="B10" s="3" t="s">
        <v>1064</v>
      </c>
      <c r="C10" s="3" t="s">
        <v>1065</v>
      </c>
    </row>
    <row r="12" spans="1:6">
      <c r="A12" s="14" t="s">
        <v>1066</v>
      </c>
      <c r="B12" s="14" t="s">
        <v>1067</v>
      </c>
      <c r="C12" s="14" t="s">
        <v>1068</v>
      </c>
    </row>
    <row r="13" spans="1:6">
      <c r="A13" t="s">
        <v>1069</v>
      </c>
      <c r="B13" t="s">
        <v>1070</v>
      </c>
      <c r="C13" t="s">
        <v>63</v>
      </c>
    </row>
    <row r="14" spans="1:6">
      <c r="A14" t="s">
        <v>1071</v>
      </c>
      <c r="B14" t="s">
        <v>1072</v>
      </c>
      <c r="C14" t="s">
        <v>1073</v>
      </c>
    </row>
    <row r="15" spans="1:6">
      <c r="A15" t="s">
        <v>1074</v>
      </c>
      <c r="B15" t="s">
        <v>1075</v>
      </c>
      <c r="C15" t="s">
        <v>1076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Base_THETIS_MASTER</vt:lpstr>
      <vt:lpstr>Référentiels</vt:lpstr>
      <vt:lpstr>Historique</vt:lpstr>
      <vt:lpstr>README_Referentiel</vt:lpstr>
      <vt:lpstr>Approches</vt:lpstr>
      <vt:lpstr>Amarrages</vt:lpstr>
      <vt:lpstr>Services</vt:lpstr>
      <vt:lpstr>A_Terre</vt:lpstr>
      <vt:lpstr>Itineraires</vt:lpstr>
      <vt:lpstr>Medias</vt:lpstr>
      <vt:lpstr>Sources_Verifications</vt:lpstr>
      <vt:lpstr>Listes_Controlees</vt:lpstr>
      <vt:lpstr>Dictionnaire_Donnees</vt:lpstr>
      <vt:lpstr>Controle_Compatibilite_PWA</vt:lpstr>
      <vt:lpstr>Publication_PWA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GRANGER Alain</dc:creator>
  <cp:lastModifiedBy>GRANGER Alain</cp:lastModifiedBy>
  <dcterms:created xsi:type="dcterms:W3CDTF">2026-07-28T19:12:49Z</dcterms:created>
  <dcterms:modified xsi:type="dcterms:W3CDTF">2026-07-28T19:13:53Z</dcterms:modified>
</cp:coreProperties>
</file>